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D:\DA\ExcelReports\"/>
    </mc:Choice>
  </mc:AlternateContent>
  <xr:revisionPtr revIDLastSave="0" documentId="13_ncr:1_{A0C4CB94-E416-46F1-B6F2-0FD6A566B177}" xr6:coauthVersionLast="47" xr6:coauthVersionMax="47" xr10:uidLastSave="{00000000-0000-0000-0000-000000000000}"/>
  <bookViews>
    <workbookView xWindow="-108" yWindow="-108" windowWidth="23256" windowHeight="12456" activeTab="2" xr2:uid="{1F1AFF7B-7ECB-47FB-A5FC-BD0E2C7361FF}"/>
  </bookViews>
  <sheets>
    <sheet name="Data" sheetId="1" r:id="rId1"/>
    <sheet name="Dashboard" sheetId="2" r:id="rId2"/>
    <sheet name="Sales_Report" sheetId="3" r:id="rId3"/>
  </sheets>
  <definedNames>
    <definedName name="Slicer_Category">#N/A</definedName>
    <definedName name="Slicer_City">#N/A</definedName>
    <definedName name="Slicer_Region">#N/A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7" i="3" l="1"/>
  <c r="W7" i="3"/>
  <c r="V7" i="3"/>
  <c r="A4" i="2"/>
  <c r="C4" i="2"/>
  <c r="B4" i="2"/>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X7" i="3" l="1"/>
  <c r="D4" i="2"/>
</calcChain>
</file>

<file path=xl/sharedStrings.xml><?xml version="1.0" encoding="utf-8"?>
<sst xmlns="http://schemas.openxmlformats.org/spreadsheetml/2006/main" count="2526" uniqueCount="632">
  <si>
    <t>Order_ID</t>
  </si>
  <si>
    <t>Order_Date</t>
  </si>
  <si>
    <t>Customer_ID</t>
  </si>
  <si>
    <t>Product</t>
  </si>
  <si>
    <t>Category</t>
  </si>
  <si>
    <t>Quantity</t>
  </si>
  <si>
    <t>Unit_Price</t>
  </si>
  <si>
    <t>Sales</t>
  </si>
  <si>
    <t>City</t>
  </si>
  <si>
    <t>Payment_Mode</t>
  </si>
  <si>
    <t>Salesperson</t>
  </si>
  <si>
    <t>Region</t>
  </si>
  <si>
    <t>Laptop</t>
  </si>
  <si>
    <t>Electronics</t>
  </si>
  <si>
    <t>Visakhapatnam</t>
  </si>
  <si>
    <t>UPI</t>
  </si>
  <si>
    <t>West</t>
  </si>
  <si>
    <t>Headphones</t>
  </si>
  <si>
    <t>Warangal</t>
  </si>
  <si>
    <t>Anil</t>
  </si>
  <si>
    <t>East</t>
  </si>
  <si>
    <t>2025-04-26</t>
  </si>
  <si>
    <t>Keyboard</t>
  </si>
  <si>
    <t>Karimnagar</t>
  </si>
  <si>
    <t>Cash</t>
  </si>
  <si>
    <t>Kiran</t>
  </si>
  <si>
    <t>2025-09-08</t>
  </si>
  <si>
    <t>Table</t>
  </si>
  <si>
    <t>Furniture</t>
  </si>
  <si>
    <t>Mouse</t>
  </si>
  <si>
    <t>Vijayawada</t>
  </si>
  <si>
    <t>North</t>
  </si>
  <si>
    <t>Chair</t>
  </si>
  <si>
    <t>Sneha</t>
  </si>
  <si>
    <t>South</t>
  </si>
  <si>
    <t>Net Banking</t>
  </si>
  <si>
    <t>Printer</t>
  </si>
  <si>
    <t>Tirupati</t>
  </si>
  <si>
    <t>2025-10-11</t>
  </si>
  <si>
    <t>Hyderabad</t>
  </si>
  <si>
    <t>Priya</t>
  </si>
  <si>
    <t>2025-09-10</t>
  </si>
  <si>
    <t>Phone</t>
  </si>
  <si>
    <t>2025-11-10</t>
  </si>
  <si>
    <t>Rahul</t>
  </si>
  <si>
    <t>2025-11-05</t>
  </si>
  <si>
    <t>2025-04-01</t>
  </si>
  <si>
    <t>2025-09-15</t>
  </si>
  <si>
    <t>2025-12-01</t>
  </si>
  <si>
    <t>2025-12-22</t>
  </si>
  <si>
    <t>2025-12-27</t>
  </si>
  <si>
    <t>2025-03-22</t>
  </si>
  <si>
    <t>2025-05-22</t>
  </si>
  <si>
    <t>2025-04-15</t>
  </si>
  <si>
    <t>2025-06-03</t>
  </si>
  <si>
    <t>2025-07-24</t>
  </si>
  <si>
    <t>2025-03-05</t>
  </si>
  <si>
    <t>2025-12-09</t>
  </si>
  <si>
    <t>2025-11-21</t>
  </si>
  <si>
    <t>2025-10-08</t>
  </si>
  <si>
    <t>2025-09-27</t>
  </si>
  <si>
    <t>2025-12-02</t>
  </si>
  <si>
    <t>2025-10-12</t>
  </si>
  <si>
    <t>2025-02-13</t>
  </si>
  <si>
    <t>2025-01-26</t>
  </si>
  <si>
    <t>2025-05-18</t>
  </si>
  <si>
    <t>2025-06-07</t>
  </si>
  <si>
    <t>2025-12-03</t>
  </si>
  <si>
    <t>2025-11-17</t>
  </si>
  <si>
    <t>2025-12-14</t>
  </si>
  <si>
    <t>2025-09-06</t>
  </si>
  <si>
    <t>2025-02-06</t>
  </si>
  <si>
    <t>2025-04-23</t>
  </si>
  <si>
    <t>2025-04-18</t>
  </si>
  <si>
    <t>2025-07-28</t>
  </si>
  <si>
    <t>2025-02-02</t>
  </si>
  <si>
    <t>Month</t>
  </si>
  <si>
    <t>Year</t>
  </si>
  <si>
    <t>Discount</t>
  </si>
  <si>
    <t>2023-12-08</t>
  </si>
  <si>
    <t>C2978</t>
  </si>
  <si>
    <t>Akhil</t>
  </si>
  <si>
    <t>2023-10-24</t>
  </si>
  <si>
    <t>C3366</t>
  </si>
  <si>
    <t>Sofa</t>
  </si>
  <si>
    <t>Guntur</t>
  </si>
  <si>
    <t>2023-08-23</t>
  </si>
  <si>
    <t>C8634</t>
  </si>
  <si>
    <t>Nizamabad</t>
  </si>
  <si>
    <t>2023-12-02</t>
  </si>
  <si>
    <t>C3512</t>
  </si>
  <si>
    <t>Debit Card</t>
  </si>
  <si>
    <t>2023-12-27</t>
  </si>
  <si>
    <t>C4398</t>
  </si>
  <si>
    <t>2023-07-01</t>
  </si>
  <si>
    <t>C8925</t>
  </si>
  <si>
    <t>2023-12-03</t>
  </si>
  <si>
    <t>C6796</t>
  </si>
  <si>
    <t>Credit Card</t>
  </si>
  <si>
    <t>2023-10-09</t>
  </si>
  <si>
    <t>C3071</t>
  </si>
  <si>
    <t>Ramesh</t>
  </si>
  <si>
    <t>2023-09-18</t>
  </si>
  <si>
    <t>C1799</t>
  </si>
  <si>
    <t>2023-07-15</t>
  </si>
  <si>
    <t>C3461</t>
  </si>
  <si>
    <t>2023-02-06</t>
  </si>
  <si>
    <t>C3704</t>
  </si>
  <si>
    <t>2023-11-03</t>
  </si>
  <si>
    <t>C4902</t>
  </si>
  <si>
    <t>C2123</t>
  </si>
  <si>
    <t>2023-02-28</t>
  </si>
  <si>
    <t>C3095</t>
  </si>
  <si>
    <t>2023-02-02</t>
  </si>
  <si>
    <t>C3536</t>
  </si>
  <si>
    <t>2023-09-03</t>
  </si>
  <si>
    <t>C3511</t>
  </si>
  <si>
    <t>2023-11-14</t>
  </si>
  <si>
    <t>C2554</t>
  </si>
  <si>
    <t>Smart Watch</t>
  </si>
  <si>
    <t>2023-11-24</t>
  </si>
  <si>
    <t>C2555</t>
  </si>
  <si>
    <t>2023-05-08</t>
  </si>
  <si>
    <t>C5662</t>
  </si>
  <si>
    <t>C2682</t>
  </si>
  <si>
    <t>2023-07-25</t>
  </si>
  <si>
    <t>C5114</t>
  </si>
  <si>
    <t>2023-01-10</t>
  </si>
  <si>
    <t>C1247</t>
  </si>
  <si>
    <t>C9210</t>
  </si>
  <si>
    <t>2023-06-09</t>
  </si>
  <si>
    <t>C5558</t>
  </si>
  <si>
    <t>2023-05-09</t>
  </si>
  <si>
    <t>C8155</t>
  </si>
  <si>
    <t>2023-12-01</t>
  </si>
  <si>
    <t>C3949</t>
  </si>
  <si>
    <t>2023-08-16</t>
  </si>
  <si>
    <t>C1108</t>
  </si>
  <si>
    <t>2023-06-22</t>
  </si>
  <si>
    <t>C8886</t>
  </si>
  <si>
    <t>2023-08-02</t>
  </si>
  <si>
    <t>C9762</t>
  </si>
  <si>
    <t>2023-12-28</t>
  </si>
  <si>
    <t>C3168</t>
  </si>
  <si>
    <t>2023-10-22</t>
  </si>
  <si>
    <t>C5538</t>
  </si>
  <si>
    <t>2023-10-19</t>
  </si>
  <si>
    <t>C8998</t>
  </si>
  <si>
    <t>2023-06-16</t>
  </si>
  <si>
    <t>C3946</t>
  </si>
  <si>
    <t>2023-04-15</t>
  </si>
  <si>
    <t>C3456</t>
  </si>
  <si>
    <t>2023-03-28</t>
  </si>
  <si>
    <t>C1502</t>
  </si>
  <si>
    <t>2023-10-28</t>
  </si>
  <si>
    <t>C9355</t>
  </si>
  <si>
    <t>2023-08-27</t>
  </si>
  <si>
    <t>C2161</t>
  </si>
  <si>
    <t>2023-06-23</t>
  </si>
  <si>
    <t>C2433</t>
  </si>
  <si>
    <t>Divya</t>
  </si>
  <si>
    <t>2023-07-24</t>
  </si>
  <si>
    <t>C4109</t>
  </si>
  <si>
    <t>2023-06-20</t>
  </si>
  <si>
    <t>C4125</t>
  </si>
  <si>
    <t>2023-07-09</t>
  </si>
  <si>
    <t>C8813</t>
  </si>
  <si>
    <t>2023-09-25</t>
  </si>
  <si>
    <t>C3823</t>
  </si>
  <si>
    <t>2023-09-16</t>
  </si>
  <si>
    <t>C7481</t>
  </si>
  <si>
    <t>2023-05-07</t>
  </si>
  <si>
    <t>C2972</t>
  </si>
  <si>
    <t>2023-12-16</t>
  </si>
  <si>
    <t>C1579</t>
  </si>
  <si>
    <t>2023-03-06</t>
  </si>
  <si>
    <t>C4110</t>
  </si>
  <si>
    <t>2023-06-18</t>
  </si>
  <si>
    <t>C7244</t>
  </si>
  <si>
    <t>2023-07-07</t>
  </si>
  <si>
    <t>C4840</t>
  </si>
  <si>
    <t>C3454</t>
  </si>
  <si>
    <t>2023-10-31</t>
  </si>
  <si>
    <t>C1017</t>
  </si>
  <si>
    <t>C6240</t>
  </si>
  <si>
    <t>C1460</t>
  </si>
  <si>
    <t>2023-07-11</t>
  </si>
  <si>
    <t>C5320</t>
  </si>
  <si>
    <t>2023-02-22</t>
  </si>
  <si>
    <t>C5206</t>
  </si>
  <si>
    <t>2023-01-09</t>
  </si>
  <si>
    <t>C6861</t>
  </si>
  <si>
    <t>C2043</t>
  </si>
  <si>
    <t>2023-02-19</t>
  </si>
  <si>
    <t>C7825</t>
  </si>
  <si>
    <t>C7665</t>
  </si>
  <si>
    <t>2023-07-23</t>
  </si>
  <si>
    <t>C6299</t>
  </si>
  <si>
    <t>2023-04-29</t>
  </si>
  <si>
    <t>C5375</t>
  </si>
  <si>
    <t>2023-10-20</t>
  </si>
  <si>
    <t>C3699</t>
  </si>
  <si>
    <t>2023-03-15</t>
  </si>
  <si>
    <t>C1893</t>
  </si>
  <si>
    <t>2023-11-15</t>
  </si>
  <si>
    <t>C9469</t>
  </si>
  <si>
    <t>2023-03-29</t>
  </si>
  <si>
    <t>C9258</t>
  </si>
  <si>
    <t>2023-02-07</t>
  </si>
  <si>
    <t>C9199</t>
  </si>
  <si>
    <t>2023-11-26</t>
  </si>
  <si>
    <t>C3516</t>
  </si>
  <si>
    <t>2023-10-27</t>
  </si>
  <si>
    <t>C6064</t>
  </si>
  <si>
    <t>C4704</t>
  </si>
  <si>
    <t>C5645</t>
  </si>
  <si>
    <t>2023-09-08</t>
  </si>
  <si>
    <t>C8428</t>
  </si>
  <si>
    <t>2023-11-05</t>
  </si>
  <si>
    <t>C3718</t>
  </si>
  <si>
    <t>2023-02-18</t>
  </si>
  <si>
    <t>C2545</t>
  </si>
  <si>
    <t>2023-01-01</t>
  </si>
  <si>
    <t>C8765</t>
  </si>
  <si>
    <t>2023-04-04</t>
  </si>
  <si>
    <t>C4197</t>
  </si>
  <si>
    <t>2023-09-19</t>
  </si>
  <si>
    <t>C9480</t>
  </si>
  <si>
    <t>2023-07-06</t>
  </si>
  <si>
    <t>C8575</t>
  </si>
  <si>
    <t>C9831</t>
  </si>
  <si>
    <t>2023-12-15</t>
  </si>
  <si>
    <t>C5528</t>
  </si>
  <si>
    <t>2023-12-05</t>
  </si>
  <si>
    <t>C1435</t>
  </si>
  <si>
    <t>2023-05-26</t>
  </si>
  <si>
    <t>C9863</t>
  </si>
  <si>
    <t>2023-08-20</t>
  </si>
  <si>
    <t>C7307</t>
  </si>
  <si>
    <t>2023-09-29</t>
  </si>
  <si>
    <t>C8267</t>
  </si>
  <si>
    <t>2023-06-17</t>
  </si>
  <si>
    <t>C1975</t>
  </si>
  <si>
    <t>C4074</t>
  </si>
  <si>
    <t>2023-07-02</t>
  </si>
  <si>
    <t>C4425</t>
  </si>
  <si>
    <t>2023-10-16</t>
  </si>
  <si>
    <t>C8262</t>
  </si>
  <si>
    <t>C7031</t>
  </si>
  <si>
    <t>2023-08-26</t>
  </si>
  <si>
    <t>C2409</t>
  </si>
  <si>
    <t>2023-05-21</t>
  </si>
  <si>
    <t>C8456</t>
  </si>
  <si>
    <t>2023-01-18</t>
  </si>
  <si>
    <t>C4124</t>
  </si>
  <si>
    <t>2023-08-08</t>
  </si>
  <si>
    <t>C4277</t>
  </si>
  <si>
    <t>2023-04-08</t>
  </si>
  <si>
    <t>C8264</t>
  </si>
  <si>
    <t>2023-06-29</t>
  </si>
  <si>
    <t>C7742</t>
  </si>
  <si>
    <t>2023-08-25</t>
  </si>
  <si>
    <t>C9708</t>
  </si>
  <si>
    <t>2023-04-09</t>
  </si>
  <si>
    <t>C8333</t>
  </si>
  <si>
    <t>2023-09-06</t>
  </si>
  <si>
    <t>C1264</t>
  </si>
  <si>
    <t>2023-11-30</t>
  </si>
  <si>
    <t>C4518</t>
  </si>
  <si>
    <t>2023-11-01</t>
  </si>
  <si>
    <t>C7337</t>
  </si>
  <si>
    <t>2023-04-26</t>
  </si>
  <si>
    <t>C4186</t>
  </si>
  <si>
    <t>2023-01-19</t>
  </si>
  <si>
    <t>C1400</t>
  </si>
  <si>
    <t>2024-07-04</t>
  </si>
  <si>
    <t>C4080</t>
  </si>
  <si>
    <t>2024-09-26</t>
  </si>
  <si>
    <t>C6464</t>
  </si>
  <si>
    <t>2024-10-07</t>
  </si>
  <si>
    <t>C1763</t>
  </si>
  <si>
    <t>2024-05-26</t>
  </si>
  <si>
    <t>C5427</t>
  </si>
  <si>
    <t>2024-05-27</t>
  </si>
  <si>
    <t>C4404</t>
  </si>
  <si>
    <t>2024-08-12</t>
  </si>
  <si>
    <t>C7909</t>
  </si>
  <si>
    <t>2024-03-29</t>
  </si>
  <si>
    <t>C7478</t>
  </si>
  <si>
    <t>2024-04-24</t>
  </si>
  <si>
    <t>C1549</t>
  </si>
  <si>
    <t>2024-02-16</t>
  </si>
  <si>
    <t>C5100</t>
  </si>
  <si>
    <t>2024-04-30</t>
  </si>
  <si>
    <t>C7979</t>
  </si>
  <si>
    <t>2024-11-11</t>
  </si>
  <si>
    <t>C9533</t>
  </si>
  <si>
    <t>2024-10-13</t>
  </si>
  <si>
    <t>C1418</t>
  </si>
  <si>
    <t>2024-09-27</t>
  </si>
  <si>
    <t>C6689</t>
  </si>
  <si>
    <t>2024-12-26</t>
  </si>
  <si>
    <t>C2107</t>
  </si>
  <si>
    <t>2024-04-29</t>
  </si>
  <si>
    <t>C6493</t>
  </si>
  <si>
    <t>2024-03-04</t>
  </si>
  <si>
    <t>C3861</t>
  </si>
  <si>
    <t>2024-12-08</t>
  </si>
  <si>
    <t>C6441</t>
  </si>
  <si>
    <t>2024-06-13</t>
  </si>
  <si>
    <t>C5264</t>
  </si>
  <si>
    <t>2024-03-09</t>
  </si>
  <si>
    <t>C9006</t>
  </si>
  <si>
    <t>2024-05-04</t>
  </si>
  <si>
    <t>C2324</t>
  </si>
  <si>
    <t>2024-02-21</t>
  </si>
  <si>
    <t>C9063</t>
  </si>
  <si>
    <t>2024-01-21</t>
  </si>
  <si>
    <t>C5436</t>
  </si>
  <si>
    <t>2024-01-15</t>
  </si>
  <si>
    <t>C1208</t>
  </si>
  <si>
    <t>2024-02-01</t>
  </si>
  <si>
    <t>C9696</t>
  </si>
  <si>
    <t>C5311</t>
  </si>
  <si>
    <t>2024-01-25</t>
  </si>
  <si>
    <t>C2884</t>
  </si>
  <si>
    <t>2024-01-17</t>
  </si>
  <si>
    <t>C7875</t>
  </si>
  <si>
    <t>2024-10-14</t>
  </si>
  <si>
    <t>C7477</t>
  </si>
  <si>
    <t>2024-08-22</t>
  </si>
  <si>
    <t>C1639</t>
  </si>
  <si>
    <t>2024-06-29</t>
  </si>
  <si>
    <t>C4171</t>
  </si>
  <si>
    <t>2024-03-02</t>
  </si>
  <si>
    <t>C1174</t>
  </si>
  <si>
    <t>2024-01-19</t>
  </si>
  <si>
    <t>C5717</t>
  </si>
  <si>
    <t>2024-09-19</t>
  </si>
  <si>
    <t>C2278</t>
  </si>
  <si>
    <t>2024-07-21</t>
  </si>
  <si>
    <t>C2414</t>
  </si>
  <si>
    <t>C2357</t>
  </si>
  <si>
    <t>2024-07-24</t>
  </si>
  <si>
    <t>C4905</t>
  </si>
  <si>
    <t>2024-06-23</t>
  </si>
  <si>
    <t>C3650</t>
  </si>
  <si>
    <t>2024-10-30</t>
  </si>
  <si>
    <t>C9816</t>
  </si>
  <si>
    <t>2024-09-18</t>
  </si>
  <si>
    <t>C9370</t>
  </si>
  <si>
    <t>2024-03-30</t>
  </si>
  <si>
    <t>C2575</t>
  </si>
  <si>
    <t>2024-12-25</t>
  </si>
  <si>
    <t>C4281</t>
  </si>
  <si>
    <t>C5575</t>
  </si>
  <si>
    <t>C9939</t>
  </si>
  <si>
    <t>2024-12-04</t>
  </si>
  <si>
    <t>C7743</t>
  </si>
  <si>
    <t>2024-07-29</t>
  </si>
  <si>
    <t>C4778</t>
  </si>
  <si>
    <t>2024-03-23</t>
  </si>
  <si>
    <t>C6023</t>
  </si>
  <si>
    <t>2024-11-14</t>
  </si>
  <si>
    <t>C5985</t>
  </si>
  <si>
    <t>2024-01-24</t>
  </si>
  <si>
    <t>C2763</t>
  </si>
  <si>
    <t>2024-08-05</t>
  </si>
  <si>
    <t>C6019</t>
  </si>
  <si>
    <t>2024-11-02</t>
  </si>
  <si>
    <t>C2120</t>
  </si>
  <si>
    <t>2024-02-25</t>
  </si>
  <si>
    <t>C9927</t>
  </si>
  <si>
    <t>2024-03-11</t>
  </si>
  <si>
    <t>C6133</t>
  </si>
  <si>
    <t>C3185</t>
  </si>
  <si>
    <t>2024-04-20</t>
  </si>
  <si>
    <t>C6501</t>
  </si>
  <si>
    <t>2024-04-03</t>
  </si>
  <si>
    <t>C2816</t>
  </si>
  <si>
    <t>C9531</t>
  </si>
  <si>
    <t>2024-01-22</t>
  </si>
  <si>
    <t>C5902</t>
  </si>
  <si>
    <t>2024-06-20</t>
  </si>
  <si>
    <t>C6904</t>
  </si>
  <si>
    <t>2024-09-06</t>
  </si>
  <si>
    <t>C5481</t>
  </si>
  <si>
    <t>2024-12-12</t>
  </si>
  <si>
    <t>C5056</t>
  </si>
  <si>
    <t>2024-04-04</t>
  </si>
  <si>
    <t>C1010</t>
  </si>
  <si>
    <t>2024-07-15</t>
  </si>
  <si>
    <t>C5636</t>
  </si>
  <si>
    <t>2024-08-14</t>
  </si>
  <si>
    <t>C1702</t>
  </si>
  <si>
    <t>2024-09-30</t>
  </si>
  <si>
    <t>C3594</t>
  </si>
  <si>
    <t>2024-03-16</t>
  </si>
  <si>
    <t>C8543</t>
  </si>
  <si>
    <t>2024-01-16</t>
  </si>
  <si>
    <t>C3223</t>
  </si>
  <si>
    <t>2024-08-26</t>
  </si>
  <si>
    <t>C4471</t>
  </si>
  <si>
    <t>2024-09-14</t>
  </si>
  <si>
    <t>C3648</t>
  </si>
  <si>
    <t>C5506</t>
  </si>
  <si>
    <t>C1412</t>
  </si>
  <si>
    <t>2024-11-19</t>
  </si>
  <si>
    <t>C1085</t>
  </si>
  <si>
    <t>2024-01-06</t>
  </si>
  <si>
    <t>C5604</t>
  </si>
  <si>
    <t>C8096</t>
  </si>
  <si>
    <t>2024-05-22</t>
  </si>
  <si>
    <t>C5966</t>
  </si>
  <si>
    <t>C2059</t>
  </si>
  <si>
    <t>2024-12-09</t>
  </si>
  <si>
    <t>C2969</t>
  </si>
  <si>
    <t>2024-09-22</t>
  </si>
  <si>
    <t>C7957</t>
  </si>
  <si>
    <t>2024-11-21</t>
  </si>
  <si>
    <t>C6473</t>
  </si>
  <si>
    <t>C1023</t>
  </si>
  <si>
    <t>2024-09-10</t>
  </si>
  <si>
    <t>C7051</t>
  </si>
  <si>
    <t>2024-05-09</t>
  </si>
  <si>
    <t>C6496</t>
  </si>
  <si>
    <t>2024-10-21</t>
  </si>
  <si>
    <t>C8772</t>
  </si>
  <si>
    <t>2024-09-08</t>
  </si>
  <si>
    <t>C2526</t>
  </si>
  <si>
    <t>C7876</t>
  </si>
  <si>
    <t>2024-10-26</t>
  </si>
  <si>
    <t>C7225</t>
  </si>
  <si>
    <t>2024-10-04</t>
  </si>
  <si>
    <t>C1082</t>
  </si>
  <si>
    <t>C8438</t>
  </si>
  <si>
    <t>2024-06-04</t>
  </si>
  <si>
    <t>C3275</t>
  </si>
  <si>
    <t>C2156</t>
  </si>
  <si>
    <t>2024-10-02</t>
  </si>
  <si>
    <t>C6674</t>
  </si>
  <si>
    <t>2024-12-28</t>
  </si>
  <si>
    <t>C7425</t>
  </si>
  <si>
    <t>2024-07-05</t>
  </si>
  <si>
    <t>C4933</t>
  </si>
  <si>
    <t>2024-06-25</t>
  </si>
  <si>
    <t>C3772</t>
  </si>
  <si>
    <t>2024-10-23</t>
  </si>
  <si>
    <t>C4842</t>
  </si>
  <si>
    <t>2024-04-06</t>
  </si>
  <si>
    <t>C2171</t>
  </si>
  <si>
    <t>C1535</t>
  </si>
  <si>
    <t>2024-02-13</t>
  </si>
  <si>
    <t>C2784</t>
  </si>
  <si>
    <t>2024-04-15</t>
  </si>
  <si>
    <t>C8237</t>
  </si>
  <si>
    <t>2024-09-11</t>
  </si>
  <si>
    <t>C4179</t>
  </si>
  <si>
    <t>2024-11-27</t>
  </si>
  <si>
    <t>C5193</t>
  </si>
  <si>
    <t>2025-06-27</t>
  </si>
  <si>
    <t>2025-03-13</t>
  </si>
  <si>
    <t>C8585</t>
  </si>
  <si>
    <t>C7828</t>
  </si>
  <si>
    <t>2025-11-02</t>
  </si>
  <si>
    <t>C4697</t>
  </si>
  <si>
    <t>C9537</t>
  </si>
  <si>
    <t>2025-06-17</t>
  </si>
  <si>
    <t>C2056</t>
  </si>
  <si>
    <t>C4063</t>
  </si>
  <si>
    <t>2025-07-07</t>
  </si>
  <si>
    <t>C2638</t>
  </si>
  <si>
    <t>2025-10-19</t>
  </si>
  <si>
    <t>C5685</t>
  </si>
  <si>
    <t>C6850</t>
  </si>
  <si>
    <t>2025-02-17</t>
  </si>
  <si>
    <t>C1097</t>
  </si>
  <si>
    <t>2025-02-23</t>
  </si>
  <si>
    <t>C6813</t>
  </si>
  <si>
    <t>C2337</t>
  </si>
  <si>
    <t>2025-03-15</t>
  </si>
  <si>
    <t>C5468</t>
  </si>
  <si>
    <t>2025-12-24</t>
  </si>
  <si>
    <t>C8906</t>
  </si>
  <si>
    <t>2025-08-24</t>
  </si>
  <si>
    <t>C8210</t>
  </si>
  <si>
    <t>2025-03-31</t>
  </si>
  <si>
    <t>C9987</t>
  </si>
  <si>
    <t>2025-02-26</t>
  </si>
  <si>
    <t>C7229</t>
  </si>
  <si>
    <t>C9023</t>
  </si>
  <si>
    <t>2025-10-31</t>
  </si>
  <si>
    <t>C5428</t>
  </si>
  <si>
    <t>2025-07-22</t>
  </si>
  <si>
    <t>C9507</t>
  </si>
  <si>
    <t>2025-08-22</t>
  </si>
  <si>
    <t>C2103</t>
  </si>
  <si>
    <t>2025-01-05</t>
  </si>
  <si>
    <t>C3761</t>
  </si>
  <si>
    <t>2025-07-17</t>
  </si>
  <si>
    <t>C8969</t>
  </si>
  <si>
    <t>C6762</t>
  </si>
  <si>
    <t>C2689</t>
  </si>
  <si>
    <t>C8704</t>
  </si>
  <si>
    <t>C2400</t>
  </si>
  <si>
    <t>2025-12-26</t>
  </si>
  <si>
    <t>C5248</t>
  </si>
  <si>
    <t>C9371</t>
  </si>
  <si>
    <t>2025-06-12</t>
  </si>
  <si>
    <t>C1661</t>
  </si>
  <si>
    <t>C6835</t>
  </si>
  <si>
    <t>2025-08-23</t>
  </si>
  <si>
    <t>C5830</t>
  </si>
  <si>
    <t>2025-04-30</t>
  </si>
  <si>
    <t>C6169</t>
  </si>
  <si>
    <t>C5560</t>
  </si>
  <si>
    <t>C2166</t>
  </si>
  <si>
    <t>C1637</t>
  </si>
  <si>
    <t>2025-07-04</t>
  </si>
  <si>
    <t>C1808</t>
  </si>
  <si>
    <t>C5236</t>
  </si>
  <si>
    <t>C5752</t>
  </si>
  <si>
    <t>C6738</t>
  </si>
  <si>
    <t>C9221</t>
  </si>
  <si>
    <t>2025-08-02</t>
  </si>
  <si>
    <t>C7283</t>
  </si>
  <si>
    <t>C9233</t>
  </si>
  <si>
    <t>2025-10-28</t>
  </si>
  <si>
    <t>C7771</t>
  </si>
  <si>
    <t>C6513</t>
  </si>
  <si>
    <t>2025-04-13</t>
  </si>
  <si>
    <t>C7785</t>
  </si>
  <si>
    <t>2025-07-05</t>
  </si>
  <si>
    <t>C7068</t>
  </si>
  <si>
    <t>C7078</t>
  </si>
  <si>
    <t>C8630</t>
  </si>
  <si>
    <t>2025-01-25</t>
  </si>
  <si>
    <t>2025-07-03</t>
  </si>
  <si>
    <t>C9651</t>
  </si>
  <si>
    <t>C8714</t>
  </si>
  <si>
    <t>2025-10-16</t>
  </si>
  <si>
    <t>C4268</t>
  </si>
  <si>
    <t>C3372</t>
  </si>
  <si>
    <t>C2529</t>
  </si>
  <si>
    <t>C3590</t>
  </si>
  <si>
    <t>2025-04-09</t>
  </si>
  <si>
    <t>C8485</t>
  </si>
  <si>
    <t>C6037</t>
  </si>
  <si>
    <t>C2255</t>
  </si>
  <si>
    <t>C3490</t>
  </si>
  <si>
    <t>2025-04-22</t>
  </si>
  <si>
    <t>C5388</t>
  </si>
  <si>
    <t>C2657</t>
  </si>
  <si>
    <t>C5326</t>
  </si>
  <si>
    <t>C7169</t>
  </si>
  <si>
    <t>C2989</t>
  </si>
  <si>
    <t>2025-07-29</t>
  </si>
  <si>
    <t>C2155</t>
  </si>
  <si>
    <t>C9968</t>
  </si>
  <si>
    <t>C3427</t>
  </si>
  <si>
    <t>C6776</t>
  </si>
  <si>
    <t>C2419</t>
  </si>
  <si>
    <t>C7584</t>
  </si>
  <si>
    <t>2025-11-22</t>
  </si>
  <si>
    <t>C4729</t>
  </si>
  <si>
    <t>2025-07-25</t>
  </si>
  <si>
    <t>C2110</t>
  </si>
  <si>
    <t>2025-10-21</t>
  </si>
  <si>
    <t>C1081</t>
  </si>
  <si>
    <t>C4200</t>
  </si>
  <si>
    <t>2025-08-10</t>
  </si>
  <si>
    <t>C2794</t>
  </si>
  <si>
    <t>2025-07-14</t>
  </si>
  <si>
    <t>C9786</t>
  </si>
  <si>
    <t>C9225</t>
  </si>
  <si>
    <t>C5601</t>
  </si>
  <si>
    <t>C1501</t>
  </si>
  <si>
    <t>2025-01-19</t>
  </si>
  <si>
    <t>C1261</t>
  </si>
  <si>
    <t>C6949</t>
  </si>
  <si>
    <t>2025-11-07</t>
  </si>
  <si>
    <t>C7729</t>
  </si>
  <si>
    <t>C3698</t>
  </si>
  <si>
    <t>C3904</t>
  </si>
  <si>
    <t>2025-02-05</t>
  </si>
  <si>
    <t>C1437</t>
  </si>
  <si>
    <t>2025-07-11</t>
  </si>
  <si>
    <t>C3845</t>
  </si>
  <si>
    <t>C5429</t>
  </si>
  <si>
    <t>2025-06-26</t>
  </si>
  <si>
    <t>C5432</t>
  </si>
  <si>
    <t>2025-05-05</t>
  </si>
  <si>
    <t>C5071</t>
  </si>
  <si>
    <t>2025-06-21</t>
  </si>
  <si>
    <t>C8484</t>
  </si>
  <si>
    <t>C7647</t>
  </si>
  <si>
    <t>C6266</t>
  </si>
  <si>
    <t>C7612</t>
  </si>
  <si>
    <t>C5057</t>
  </si>
  <si>
    <t>2025-08-30</t>
  </si>
  <si>
    <t>C4149</t>
  </si>
  <si>
    <t>2025-11-15</t>
  </si>
  <si>
    <t>C4997</t>
  </si>
  <si>
    <t>Discount2</t>
  </si>
  <si>
    <t>Quarter</t>
  </si>
  <si>
    <t>Total_Sales</t>
  </si>
  <si>
    <t>Total_Orders</t>
  </si>
  <si>
    <t>Total_Quantity</t>
  </si>
  <si>
    <t>Avg_Order</t>
  </si>
  <si>
    <t>Row Labels</t>
  </si>
  <si>
    <t>Jan</t>
  </si>
  <si>
    <t>Feb</t>
  </si>
  <si>
    <t>Mar</t>
  </si>
  <si>
    <t>Apr</t>
  </si>
  <si>
    <t>May</t>
  </si>
  <si>
    <t>Jun</t>
  </si>
  <si>
    <t>Jul</t>
  </si>
  <si>
    <t>Aug</t>
  </si>
  <si>
    <t>Sep</t>
  </si>
  <si>
    <t>Oct</t>
  </si>
  <si>
    <t>Nov</t>
  </si>
  <si>
    <t>Dec</t>
  </si>
  <si>
    <t>Grand Total</t>
  </si>
  <si>
    <t>Sum of Sales</t>
  </si>
  <si>
    <t>Pivot Table-1</t>
  </si>
  <si>
    <t>Pivot Table-2</t>
  </si>
  <si>
    <t>Pivot Table-3</t>
  </si>
  <si>
    <t>Pivot Table-4</t>
  </si>
  <si>
    <t>Pivot Table-5</t>
  </si>
  <si>
    <t>Pivot Table-6</t>
  </si>
  <si>
    <t>Pivot Table-7</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</si>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</sst>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4009]\ * #,##0_ ;_ [$₹-4009]\ * \-#,##0_ ;_ [$₹-4009]\ * &quot;-&quot;??_ ;_ @_ "/>
  </numFmts>
  <fonts count="11" x14ac:knownFonts="1">
    <font>
      <sz val="11"/>
      <color theme="1"/>
      <name val="Calibri"/>
      <family val="2"/>
      <scheme val="minor"/>
    </font>
    <font>
      <sz val="11"/>
      <color theme="1"/>
      <name val="Calibri"/>
      <family val="2"/>
      <scheme val="minor"/>
    </font>
    <font>
      <sz val="11"/>
      <color theme="1"/>
      <name val="Aptos"/>
      <family val="2"/>
    </font>
    <font>
      <b/>
      <sz val="11"/>
      <color theme="1"/>
      <name val="Aptos"/>
      <family val="2"/>
    </font>
    <font>
      <b/>
      <sz val="12"/>
      <color theme="1"/>
      <name val="Calibri"/>
      <family val="2"/>
      <scheme val="minor"/>
    </font>
    <font>
      <sz val="11"/>
      <color theme="1" tint="4.9989318521683403E-2"/>
      <name val="Calibri"/>
      <family val="2"/>
      <scheme val="minor"/>
    </font>
    <font>
      <sz val="12"/>
      <color theme="1"/>
      <name val="Calibri"/>
      <family val="2"/>
      <scheme val="minor"/>
    </font>
    <font>
      <b/>
      <sz val="14"/>
      <color theme="1"/>
      <name val="Calibri"/>
      <family val="2"/>
      <scheme val="minor"/>
    </font>
    <font>
      <b/>
      <sz val="20"/>
      <color theme="1"/>
      <name val="Calibri"/>
      <family val="2"/>
      <scheme val="minor"/>
    </font>
    <font>
      <b/>
      <sz val="16"/>
      <color theme="1"/>
      <name val="Aptos ExtraBold"/>
      <family val="2"/>
    </font>
    <font>
      <sz val="18"/>
      <color theme="1" tint="4.9989318521683403E-2"/>
      <name val="Aptos"/>
      <family val="2"/>
    </font>
  </fonts>
  <fills count="8">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tint="-4.9989318521683403E-2"/>
        <bgColor indexed="64"/>
      </patternFill>
    </fill>
    <fill>
      <patternFill patternType="solid">
        <fgColor rgb="FFFFC000"/>
        <bgColor indexed="64"/>
      </patternFill>
    </fill>
    <fill>
      <patternFill patternType="solid">
        <fgColor theme="5" tint="0.59999389629810485"/>
        <bgColor indexed="64"/>
      </patternFill>
    </fill>
    <fill>
      <patternFill patternType="solid">
        <fgColor theme="0"/>
        <bgColor indexed="64"/>
      </patternFill>
    </fill>
  </fills>
  <borders count="3">
    <border>
      <left/>
      <right/>
      <top/>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2" fillId="0" borderId="0" xfId="0" applyFont="1" applyAlignment="1">
      <alignment horizontal="center"/>
    </xf>
    <xf numFmtId="9" fontId="2" fillId="0" borderId="0" xfId="1" applyFont="1" applyAlignment="1">
      <alignment horizontal="center"/>
    </xf>
    <xf numFmtId="0" fontId="2" fillId="0" borderId="0" xfId="1" applyNumberFormat="1" applyFont="1" applyAlignment="1">
      <alignment horizontal="center"/>
    </xf>
    <xf numFmtId="0" fontId="2" fillId="3" borderId="1" xfId="0" applyFont="1" applyFill="1" applyBorder="1" applyAlignment="1">
      <alignment horizontal="center"/>
    </xf>
    <xf numFmtId="0" fontId="2" fillId="0" borderId="1" xfId="0" applyFont="1" applyBorder="1" applyAlignment="1">
      <alignment horizontal="center"/>
    </xf>
    <xf numFmtId="0" fontId="3" fillId="2" borderId="1" xfId="0" applyFont="1" applyFill="1" applyBorder="1" applyAlignment="1">
      <alignment horizontal="center"/>
    </xf>
    <xf numFmtId="164" fontId="2" fillId="0" borderId="0" xfId="0" applyNumberFormat="1" applyFont="1" applyAlignment="1">
      <alignment horizontal="center"/>
    </xf>
    <xf numFmtId="164" fontId="2" fillId="3" borderId="1" xfId="0" applyNumberFormat="1" applyFont="1" applyFill="1" applyBorder="1" applyAlignment="1">
      <alignment horizontal="center"/>
    </xf>
    <xf numFmtId="164" fontId="2" fillId="0" borderId="1" xfId="0" applyNumberFormat="1" applyFont="1" applyBorder="1" applyAlignment="1">
      <alignment horizontal="center"/>
    </xf>
    <xf numFmtId="164" fontId="0" fillId="0" borderId="0" xfId="0" applyNumberFormat="1"/>
    <xf numFmtId="0" fontId="4" fillId="5" borderId="2" xfId="0" applyFont="1" applyFill="1" applyBorder="1"/>
    <xf numFmtId="164" fontId="5" fillId="4" borderId="2" xfId="0" applyNumberFormat="1" applyFont="1" applyFill="1" applyBorder="1"/>
    <xf numFmtId="1" fontId="5" fillId="4" borderId="2" xfId="0" applyNumberFormat="1"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7" fillId="0" borderId="0" xfId="0" applyFont="1"/>
    <xf numFmtId="0" fontId="8" fillId="6" borderId="2" xfId="0" applyFont="1" applyFill="1" applyBorder="1" applyAlignment="1">
      <alignment horizontal="center" vertical="center"/>
    </xf>
    <xf numFmtId="0" fontId="9" fillId="6" borderId="2" xfId="0" applyFont="1" applyFill="1" applyBorder="1" applyAlignment="1">
      <alignment horizontal="center" vertical="center"/>
    </xf>
    <xf numFmtId="0" fontId="6" fillId="0" borderId="0" xfId="0" applyFont="1"/>
    <xf numFmtId="0" fontId="0" fillId="0" borderId="0" xfId="0" applyNumberFormat="1"/>
    <xf numFmtId="164" fontId="10" fillId="7" borderId="2" xfId="0" applyNumberFormat="1" applyFont="1" applyFill="1" applyBorder="1" applyAlignment="1">
      <alignment horizontal="center" vertical="center"/>
    </xf>
    <xf numFmtId="1" fontId="10" fillId="7" borderId="2" xfId="0" applyNumberFormat="1" applyFont="1" applyFill="1" applyBorder="1" applyAlignment="1">
      <alignment horizontal="center" vertical="center"/>
    </xf>
  </cellXfs>
  <cellStyles count="2">
    <cellStyle name="Normal" xfId="0" builtinId="0"/>
    <cellStyle name="Percent" xfId="1" builtinId="5"/>
  </cellStyles>
  <dxfs count="21">
    <dxf>
      <font>
        <b/>
        <i val="0"/>
        <sz val="16"/>
      </font>
      <border>
        <left style="thin">
          <color auto="1"/>
        </left>
        <right style="thin">
          <color auto="1"/>
        </right>
        <top style="thin">
          <color auto="1"/>
        </top>
        <bottom style="thin">
          <color auto="1"/>
        </bottom>
      </border>
    </dxf>
    <dxf>
      <font>
        <b/>
        <i val="0"/>
        <sz val="12"/>
      </font>
      <border>
        <left style="thin">
          <color auto="1"/>
        </left>
        <right style="thin">
          <color auto="1"/>
        </right>
        <top style="thin">
          <color auto="1"/>
        </top>
        <bottom style="thin">
          <color auto="1"/>
        </bottom>
      </border>
    </dxf>
    <dxf>
      <font>
        <strike val="0"/>
        <outline val="0"/>
        <shadow val="0"/>
        <u val="none"/>
        <vertAlign val="baseline"/>
        <sz val="11"/>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ptos"/>
        <family val="2"/>
        <scheme val="none"/>
      </font>
      <alignment horizontal="center" vertical="bottom" textRotation="0" wrapText="0" indent="0" justifyLastLine="0" shrinkToFit="0" readingOrder="0"/>
    </dxf>
    <dxf>
      <font>
        <strike val="0"/>
        <outline val="0"/>
        <shadow val="0"/>
        <u val="none"/>
        <vertAlign val="baseline"/>
        <sz val="11"/>
        <color theme="1"/>
        <name val="Aptos"/>
        <family val="2"/>
        <scheme val="none"/>
      </font>
      <alignment horizontal="center" vertical="bottom" textRotation="0" wrapText="0" indent="0" justifyLastLine="0" shrinkToFit="0" readingOrder="0"/>
    </dxf>
    <dxf>
      <font>
        <strike val="0"/>
        <outline val="0"/>
        <shadow val="0"/>
        <u val="none"/>
        <vertAlign val="baseline"/>
        <sz val="11"/>
        <color theme="1"/>
        <name val="Aptos"/>
        <family val="2"/>
        <scheme val="none"/>
      </font>
      <alignment horizontal="center" vertical="bottom" textRotation="0" wrapText="0" indent="0" justifyLastLine="0" shrinkToFit="0" readingOrder="0"/>
    </dxf>
    <dxf>
      <font>
        <strike val="0"/>
        <outline val="0"/>
        <shadow val="0"/>
        <u val="none"/>
        <vertAlign val="baseline"/>
        <sz val="11"/>
        <color theme="1"/>
        <name val="Aptos"/>
        <family val="2"/>
        <scheme val="none"/>
      </font>
      <alignment horizontal="center" vertical="bottom" textRotation="0" wrapText="0" indent="0" justifyLastLine="0" shrinkToFit="0" readingOrder="0"/>
    </dxf>
    <dxf>
      <font>
        <strike val="0"/>
        <outline val="0"/>
        <shadow val="0"/>
        <u val="none"/>
        <vertAlign val="baseline"/>
        <sz val="11"/>
        <color theme="1"/>
        <name val="Aptos"/>
        <family val="2"/>
        <scheme val="none"/>
      </font>
      <numFmt numFmtId="164" formatCode="_ [$₹-4009]\ * #,##0_ ;_ [$₹-4009]\ * \-#,##0_ ;_ [$₹-4009]\ * &quot;-&quot;??_ ;_ @_ "/>
      <alignment horizontal="center" vertical="bottom" textRotation="0" wrapText="0" indent="0" justifyLastLine="0" shrinkToFit="0" readingOrder="0"/>
    </dxf>
    <dxf>
      <font>
        <strike val="0"/>
        <outline val="0"/>
        <shadow val="0"/>
        <u val="none"/>
        <vertAlign val="baseline"/>
        <sz val="11"/>
        <color theme="1"/>
        <name val="Aptos"/>
        <family val="2"/>
        <scheme val="none"/>
      </font>
      <alignment horizontal="center" vertical="bottom" textRotation="0" wrapText="0" indent="0" justifyLastLine="0" shrinkToFit="0" readingOrder="0"/>
    </dxf>
    <dxf>
      <font>
        <strike val="0"/>
        <outline val="0"/>
        <shadow val="0"/>
        <u val="none"/>
        <vertAlign val="baseline"/>
        <sz val="11"/>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1"/>
        <color theme="1"/>
        <name val="Aptos"/>
        <family val="2"/>
        <scheme val="none"/>
      </font>
      <numFmt numFmtId="164" formatCode="_ [$₹-4009]\ * #,##0_ ;_ [$₹-4009]\ * \-#,##0_ ;_ [$₹-4009]\ * &quot;-&quot;??_ ;_ @_ "/>
      <alignment horizontal="center" vertical="bottom" textRotation="0" wrapText="0" indent="0" justifyLastLine="0" shrinkToFit="0" readingOrder="0"/>
    </dxf>
    <dxf>
      <font>
        <strike val="0"/>
        <outline val="0"/>
        <shadow val="0"/>
        <u val="none"/>
        <vertAlign val="baseline"/>
        <sz val="11"/>
        <color theme="1"/>
        <name val="Aptos"/>
        <family val="2"/>
        <scheme val="none"/>
      </font>
      <alignment horizontal="center" vertical="bottom" textRotation="0" wrapText="0" indent="0" justifyLastLine="0" shrinkToFit="0" readingOrder="0"/>
    </dxf>
    <dxf>
      <font>
        <strike val="0"/>
        <outline val="0"/>
        <shadow val="0"/>
        <u val="none"/>
        <vertAlign val="baseline"/>
        <sz val="11"/>
        <color theme="1"/>
        <name val="Aptos"/>
        <family val="2"/>
        <scheme val="none"/>
      </font>
      <alignment horizontal="center" vertical="bottom" textRotation="0" wrapText="0" indent="0" justifyLastLine="0" shrinkToFit="0" readingOrder="0"/>
    </dxf>
    <dxf>
      <font>
        <strike val="0"/>
        <outline val="0"/>
        <shadow val="0"/>
        <u val="none"/>
        <vertAlign val="baseline"/>
        <sz val="11"/>
        <color theme="1"/>
        <name val="Aptos"/>
        <family val="2"/>
        <scheme val="none"/>
      </font>
      <alignment horizontal="center" vertical="bottom" textRotation="0" wrapText="0" indent="0" justifyLastLine="0" shrinkToFit="0" readingOrder="0"/>
    </dxf>
    <dxf>
      <font>
        <strike val="0"/>
        <outline val="0"/>
        <shadow val="0"/>
        <u val="none"/>
        <vertAlign val="baseline"/>
        <sz val="11"/>
        <color theme="1"/>
        <name val="Aptos"/>
        <family val="2"/>
        <scheme val="none"/>
      </font>
      <alignment horizontal="center" vertical="bottom" textRotation="0" wrapText="0" indent="0" justifyLastLine="0" shrinkToFit="0" readingOrder="0"/>
    </dxf>
    <dxf>
      <font>
        <strike val="0"/>
        <outline val="0"/>
        <shadow val="0"/>
        <u val="none"/>
        <vertAlign val="baseline"/>
        <sz val="11"/>
        <color theme="1"/>
        <name val="Aptos"/>
        <family val="2"/>
        <scheme val="none"/>
      </font>
      <alignment horizontal="center" vertical="bottom" textRotation="0" wrapText="0" indent="0" justifyLastLine="0" shrinkToFit="0" readingOrder="0"/>
    </dxf>
    <dxf>
      <font>
        <strike val="0"/>
        <outline val="0"/>
        <shadow val="0"/>
        <u val="none"/>
        <vertAlign val="baseline"/>
        <sz val="11"/>
        <color theme="1"/>
        <name val="Aptos"/>
        <family val="2"/>
        <scheme val="none"/>
      </font>
      <alignment horizontal="center" vertical="bottom" textRotation="0" wrapText="0" indent="0" justifyLastLine="0" shrinkToFit="0" readingOrder="0"/>
    </dxf>
    <dxf>
      <font>
        <strike val="0"/>
        <outline val="0"/>
        <shadow val="0"/>
        <u val="none"/>
        <vertAlign val="baseline"/>
        <sz val="11"/>
        <color theme="1"/>
        <name val="Aptos"/>
        <family val="2"/>
        <scheme val="none"/>
      </font>
      <alignment horizontal="center" vertical="bottom" textRotation="0" wrapText="0" indent="0" justifyLastLine="0" shrinkToFit="0" readingOrder="0"/>
    </dxf>
    <dxf>
      <font>
        <strike val="0"/>
        <outline val="0"/>
        <shadow val="0"/>
        <u val="none"/>
        <vertAlign val="baseline"/>
        <sz val="11"/>
        <color theme="1"/>
        <name val="Aptos"/>
        <family val="2"/>
        <scheme val="none"/>
      </font>
      <alignment horizontal="center" vertical="bottom" textRotation="0" wrapText="0" indent="0" justifyLastLine="0" shrinkToFit="0" readingOrder="0"/>
    </dxf>
  </dxfs>
  <tableStyles count="2" defaultTableStyle="TableStyleMedium2" defaultPivotStyle="PivotStyleLight16">
    <tableStyle name="Slicer Style 1" pivot="0" table="0" count="1" xr9:uid="{EE95A32F-38D6-482F-ABCD-02A5FB331945}"/>
    <tableStyle name="Slicer Style 2" pivot="0" table="0" count="8" xr9:uid="{26A9AE1B-6DAB-47BE-AE51-FD4E128BAA73}">
      <tableStyleElement type="wholeTable" dxfId="1"/>
      <tableStyleElement type="headerRow" dxfId="0"/>
    </tableStyle>
  </tableStyles>
  <colors>
    <mruColors>
      <color rgb="FFFEA8D9"/>
      <color rgb="FF7D87B7"/>
    </mruColors>
  </colors>
  <extLst>
    <ext xmlns:x14="http://schemas.microsoft.com/office/spreadsheetml/2009/9/main" uri="{46F421CA-312F-682f-3DD2-61675219B42D}">
      <x14:dxfs count="37">
        <dxf>
          <font>
            <b/>
            <i val="0"/>
            <sz val="22"/>
          </font>
        </dxf>
        <dxf>
          <font>
            <b/>
            <i val="0"/>
            <sz val="12"/>
          </font>
          <fill>
            <patternFill>
              <bgColor theme="0" tint="-0.24994659260841701"/>
            </patternFill>
          </fill>
          <border>
            <left style="thin">
              <color theme="1" tint="4.9989318521683403E-2"/>
            </left>
            <right style="thin">
              <color theme="1" tint="4.9989318521683403E-2"/>
            </right>
            <top style="thin">
              <color theme="1" tint="4.9989318521683403E-2"/>
            </top>
            <bottom style="thin">
              <color theme="1" tint="4.9989318521683403E-2"/>
            </bottom>
          </border>
        </dxf>
        <dxf>
          <font>
            <b/>
            <i val="0"/>
            <sz val="12"/>
            <name val="Calibri"/>
            <family val="2"/>
            <scheme val="minor"/>
          </font>
          <fill>
            <patternFill>
              <bgColor theme="0" tint="-0.14996795556505021"/>
            </patternFill>
          </fill>
          <border>
            <left style="thin">
              <color theme="1" tint="0.14996795556505021"/>
            </left>
            <right style="thin">
              <color theme="1" tint="0.14996795556505021"/>
            </right>
            <top style="thin">
              <color theme="1" tint="0.14996795556505021"/>
            </top>
            <bottom style="thin">
              <color theme="1" tint="0.14996795556505021"/>
            </bottom>
          </border>
        </dxf>
        <dxf>
          <font>
            <b/>
            <i val="0"/>
            <sz val="24"/>
            <color theme="2" tint="-0.749961851863155"/>
          </font>
          <fill>
            <patternFill>
              <bgColor theme="5" tint="0.39994506668294322"/>
            </patternFill>
          </fill>
          <border>
            <left style="thin">
              <color auto="1"/>
            </left>
            <right style="thin">
              <color auto="1"/>
            </right>
            <top style="thin">
              <color auto="1"/>
            </top>
            <bottom style="thin">
              <color auto="1"/>
            </bottom>
            <vertical style="thin">
              <color auto="1"/>
            </vertical>
          </border>
        </dxf>
        <dxf>
          <font>
            <b/>
            <i val="0"/>
            <sz val="12"/>
          </font>
          <fill>
            <patternFill>
              <bgColor theme="0" tint="-0.24994659260841701"/>
            </patternFill>
          </fill>
          <border>
            <left style="thin">
              <color theme="1" tint="0.14996795556505021"/>
            </left>
            <right style="thin">
              <color theme="1" tint="0.14996795556505021"/>
            </right>
            <top style="thin">
              <color theme="1" tint="0.14996795556505021"/>
            </top>
            <bottom style="thin">
              <color theme="1" tint="0.14996795556505021"/>
            </bottom>
          </border>
        </dxf>
        <dxf>
          <font>
            <b/>
            <i val="0"/>
            <sz val="20"/>
          </font>
          <fill>
            <patternFill>
              <fgColor theme="0" tint="-0.24994659260841701"/>
              <bgColor theme="0" tint="-0.14996795556505021"/>
            </patternFill>
          </fill>
          <border>
            <left style="thin">
              <color theme="1" tint="0.14996795556505021"/>
            </left>
            <right style="thin">
              <color theme="1" tint="0.14996795556505021"/>
            </right>
            <top style="thin">
              <color theme="1" tint="0.14996795556505021"/>
            </top>
            <bottom style="thin">
              <color theme="1" tint="0.14996795556505021"/>
            </bottom>
          </border>
        </dxf>
        <dxf>
          <font>
            <b/>
            <i val="0"/>
            <sz val="20"/>
          </font>
        </dxf>
        <dxf>
          <font>
            <b/>
            <i val="0"/>
            <sz val="12"/>
          </font>
          <fill>
            <patternFill>
              <bgColor theme="0" tint="-0.24994659260841701"/>
            </patternFill>
          </fill>
          <border>
            <left style="thin">
              <color theme="1" tint="4.9989318521683403E-2"/>
            </left>
            <right style="thin">
              <color theme="1" tint="4.9989318521683403E-2"/>
            </right>
            <top style="thin">
              <color theme="1" tint="4.9989318521683403E-2"/>
            </top>
            <bottom style="thin">
              <color theme="1" tint="4.9989318521683403E-2"/>
            </bottom>
          </border>
        </dxf>
        <dxf>
          <font>
            <b/>
            <i val="0"/>
            <sz val="12"/>
            <name val="Calibri"/>
            <family val="2"/>
            <scheme val="minor"/>
          </font>
          <fill>
            <patternFill>
              <bgColor theme="0" tint="-0.14996795556505021"/>
            </patternFill>
          </fill>
          <border>
            <left style="thin">
              <color theme="1" tint="0.14996795556505021"/>
            </left>
            <right style="thin">
              <color theme="1" tint="0.14996795556505021"/>
            </right>
            <top style="thin">
              <color theme="1" tint="0.14996795556505021"/>
            </top>
            <bottom style="thin">
              <color theme="1" tint="0.14996795556505021"/>
            </bottom>
          </border>
        </dxf>
        <dxf>
          <font>
            <b/>
            <i val="0"/>
            <sz val="22"/>
            <color theme="2" tint="-0.749961851863155"/>
          </font>
          <fill>
            <patternFill>
              <bgColor theme="5" tint="0.39994506668294322"/>
            </patternFill>
          </fill>
          <border>
            <left style="thin">
              <color auto="1"/>
            </left>
            <right style="thin">
              <color auto="1"/>
            </right>
            <top style="thin">
              <color auto="1"/>
            </top>
            <bottom style="thin">
              <color auto="1"/>
            </bottom>
            <vertical style="thin">
              <color auto="1"/>
            </vertical>
          </border>
        </dxf>
        <dxf>
          <font>
            <b/>
            <i val="0"/>
            <sz val="12"/>
          </font>
          <fill>
            <patternFill>
              <bgColor theme="0" tint="-0.24994659260841701"/>
            </patternFill>
          </fill>
          <border>
            <left style="thin">
              <color theme="1" tint="0.14996795556505021"/>
            </left>
            <right style="thin">
              <color theme="1" tint="0.14996795556505021"/>
            </right>
            <top style="thin">
              <color theme="1" tint="0.14996795556505021"/>
            </top>
            <bottom style="thin">
              <color theme="1" tint="0.14996795556505021"/>
            </bottom>
          </border>
        </dxf>
        <dxf>
          <font>
            <b/>
            <i val="0"/>
            <sz val="12"/>
          </font>
          <fill>
            <patternFill>
              <fgColor theme="0" tint="-0.24994659260841701"/>
              <bgColor theme="0" tint="-0.14996795556505021"/>
            </patternFill>
          </fill>
          <border>
            <left style="thin">
              <color theme="1" tint="0.14996795556505021"/>
            </left>
            <right style="thin">
              <color theme="1" tint="0.14996795556505021"/>
            </right>
            <top style="thin">
              <color theme="1" tint="0.14996795556505021"/>
            </top>
            <bottom style="thin">
              <color theme="1" tint="0.14996795556505021"/>
            </bottom>
          </border>
        </dxf>
        <dxf>
          <font>
            <b/>
            <i val="0"/>
            <sz val="12"/>
          </font>
        </dxf>
        <dxf>
          <font>
            <b/>
            <i val="0"/>
            <sz val="12"/>
          </font>
          <fill>
            <patternFill>
              <bgColor theme="0" tint="-0.24994659260841701"/>
            </patternFill>
          </fill>
          <border>
            <left style="thin">
              <color theme="1" tint="4.9989318521683403E-2"/>
            </left>
            <right style="thin">
              <color theme="1" tint="4.9989318521683403E-2"/>
            </right>
            <top style="thin">
              <color theme="1" tint="4.9989318521683403E-2"/>
            </top>
            <bottom style="thin">
              <color theme="1" tint="4.9989318521683403E-2"/>
            </bottom>
          </border>
        </dxf>
        <dxf>
          <font>
            <b/>
            <i val="0"/>
            <sz val="12"/>
            <name val="Calibri"/>
            <family val="2"/>
            <scheme val="minor"/>
          </font>
          <fill>
            <patternFill>
              <bgColor theme="0" tint="-0.14996795556505021"/>
            </patternFill>
          </fill>
          <border>
            <left style="thin">
              <color theme="1" tint="0.14996795556505021"/>
            </left>
            <right style="thin">
              <color theme="1" tint="0.14996795556505021"/>
            </right>
            <top style="thin">
              <color theme="1" tint="0.14996795556505021"/>
            </top>
            <bottom style="thin">
              <color theme="1" tint="0.14996795556505021"/>
            </bottom>
          </border>
        </dxf>
        <dxf>
          <font>
            <b/>
            <i val="0"/>
            <sz val="22"/>
            <color theme="2" tint="-0.749961851863155"/>
          </font>
          <fill>
            <patternFill>
              <bgColor theme="5" tint="0.39994506668294322"/>
            </patternFill>
          </fill>
          <border>
            <left style="thin">
              <color auto="1"/>
            </left>
            <right style="thin">
              <color auto="1"/>
            </right>
            <top style="thin">
              <color auto="1"/>
            </top>
            <bottom style="thin">
              <color auto="1"/>
            </bottom>
            <vertical style="thin">
              <color auto="1"/>
            </vertical>
          </border>
        </dxf>
        <dxf>
          <font>
            <b/>
            <i val="0"/>
            <sz val="12"/>
          </font>
          <fill>
            <patternFill>
              <bgColor theme="0" tint="-0.24994659260841701"/>
            </patternFill>
          </fill>
          <border>
            <left style="thin">
              <color theme="1" tint="0.14996795556505021"/>
            </left>
            <right style="thin">
              <color theme="1" tint="0.14996795556505021"/>
            </right>
            <top style="thin">
              <color theme="1" tint="0.14996795556505021"/>
            </top>
            <bottom style="thin">
              <color theme="1" tint="0.14996795556505021"/>
            </bottom>
          </border>
        </dxf>
        <dxf>
          <font>
            <b/>
            <i val="0"/>
            <sz val="12"/>
          </font>
          <fill>
            <patternFill>
              <fgColor theme="0" tint="-0.24994659260841701"/>
              <bgColor theme="0" tint="-0.14996795556505021"/>
            </patternFill>
          </fill>
          <border>
            <left style="thin">
              <color theme="1" tint="0.14996795556505021"/>
            </left>
            <right style="thin">
              <color theme="1" tint="0.14996795556505021"/>
            </right>
            <top style="thin">
              <color theme="1" tint="0.14996795556505021"/>
            </top>
            <bottom style="thin">
              <color theme="1" tint="0.14996795556505021"/>
            </bottom>
          </border>
        </dxf>
        <dxf>
          <font>
            <b/>
            <i val="0"/>
            <sz val="12"/>
          </font>
        </dxf>
        <dxf>
          <font>
            <b/>
            <i val="0"/>
            <sz val="12"/>
          </font>
          <fill>
            <patternFill>
              <bgColor theme="0" tint="-0.24994659260841701"/>
            </patternFill>
          </fill>
          <border>
            <left style="thin">
              <color theme="1" tint="4.9989318521683403E-2"/>
            </left>
            <right style="thin">
              <color theme="1" tint="4.9989318521683403E-2"/>
            </right>
            <top style="thin">
              <color theme="1" tint="4.9989318521683403E-2"/>
            </top>
            <bottom style="thin">
              <color theme="1" tint="4.9989318521683403E-2"/>
            </bottom>
          </border>
        </dxf>
        <dxf>
          <font>
            <b/>
            <i val="0"/>
            <sz val="12"/>
            <name val="Calibri"/>
            <family val="2"/>
            <scheme val="minor"/>
          </font>
          <fill>
            <patternFill>
              <bgColor theme="0" tint="-0.14996795556505021"/>
            </patternFill>
          </fill>
          <border>
            <left style="thin">
              <color theme="1" tint="0.14996795556505021"/>
            </left>
            <right style="thin">
              <color theme="1" tint="0.14996795556505021"/>
            </right>
            <top style="thin">
              <color theme="1" tint="0.14996795556505021"/>
            </top>
            <bottom style="thin">
              <color theme="1" tint="0.14996795556505021"/>
            </bottom>
          </border>
        </dxf>
        <dxf>
          <font>
            <b/>
            <i val="0"/>
            <sz val="18"/>
            <color theme="2" tint="-0.749961851863155"/>
          </font>
          <fill>
            <patternFill>
              <bgColor theme="5" tint="0.39994506668294322"/>
            </patternFill>
          </fill>
          <border>
            <left style="thin">
              <color auto="1"/>
            </left>
            <right style="thin">
              <color auto="1"/>
            </right>
            <top style="thin">
              <color auto="1"/>
            </top>
            <bottom style="thin">
              <color auto="1"/>
            </bottom>
            <vertical style="thin">
              <color auto="1"/>
            </vertical>
          </border>
        </dxf>
        <dxf>
          <font>
            <b/>
            <i val="0"/>
            <sz val="12"/>
          </font>
          <fill>
            <patternFill>
              <bgColor theme="0" tint="-0.24994659260841701"/>
            </patternFill>
          </fill>
          <border>
            <left style="thin">
              <color theme="1" tint="0.14996795556505021"/>
            </left>
            <right style="thin">
              <color theme="1" tint="0.14996795556505021"/>
            </right>
            <top style="thin">
              <color theme="1" tint="0.14996795556505021"/>
            </top>
            <bottom style="thin">
              <color theme="1" tint="0.14996795556505021"/>
            </bottom>
          </border>
        </dxf>
        <dxf>
          <font>
            <b/>
            <i val="0"/>
            <sz val="12"/>
          </font>
          <fill>
            <patternFill>
              <fgColor theme="0" tint="-0.24994659260841701"/>
              <bgColor theme="0" tint="-0.14996795556505021"/>
            </patternFill>
          </fill>
          <border>
            <left style="thin">
              <color theme="1" tint="0.14996795556505021"/>
            </left>
            <right style="thin">
              <color theme="1" tint="0.14996795556505021"/>
            </right>
            <top style="thin">
              <color theme="1" tint="0.14996795556505021"/>
            </top>
            <bottom style="thin">
              <color theme="1" tint="0.14996795556505021"/>
            </bottom>
          </border>
        </dxf>
        <dxf>
          <font>
            <b/>
            <i val="0"/>
            <sz val="12"/>
          </font>
        </dxf>
        <dxf>
          <font>
            <b/>
            <i val="0"/>
            <sz val="12"/>
          </font>
          <fill>
            <patternFill>
              <bgColor theme="0" tint="-0.24994659260841701"/>
            </patternFill>
          </fill>
          <border>
            <left style="thin">
              <color theme="1" tint="4.9989318521683403E-2"/>
            </left>
            <right style="thin">
              <color theme="1" tint="4.9989318521683403E-2"/>
            </right>
            <top style="thin">
              <color theme="1" tint="4.9989318521683403E-2"/>
            </top>
            <bottom style="thin">
              <color theme="1" tint="4.9989318521683403E-2"/>
            </bottom>
          </border>
        </dxf>
        <dxf>
          <font>
            <b/>
            <i val="0"/>
            <sz val="12"/>
            <name val="Calibri"/>
            <family val="2"/>
            <scheme val="minor"/>
          </font>
          <fill>
            <patternFill>
              <bgColor theme="0" tint="-0.14996795556505021"/>
            </patternFill>
          </fill>
          <border>
            <left style="thin">
              <color theme="1" tint="0.14996795556505021"/>
            </left>
            <right style="thin">
              <color theme="1" tint="0.14996795556505021"/>
            </right>
            <top style="thin">
              <color theme="1" tint="0.14996795556505021"/>
            </top>
            <bottom style="thin">
              <color theme="1" tint="0.14996795556505021"/>
            </bottom>
          </border>
        </dxf>
        <dxf>
          <font>
            <b/>
            <i val="0"/>
            <sz val="14"/>
            <color theme="2" tint="-0.749961851863155"/>
          </font>
          <fill>
            <patternFill>
              <bgColor theme="5" tint="0.39994506668294322"/>
            </patternFill>
          </fill>
          <border>
            <left style="thin">
              <color auto="1"/>
            </left>
            <right style="thin">
              <color auto="1"/>
            </right>
            <top style="thin">
              <color auto="1"/>
            </top>
            <bottom style="thin">
              <color auto="1"/>
            </bottom>
            <vertical style="thin">
              <color auto="1"/>
            </vertical>
          </border>
        </dxf>
        <dxf>
          <font>
            <b/>
            <i val="0"/>
            <sz val="12"/>
          </font>
          <fill>
            <patternFill>
              <bgColor theme="0" tint="-0.24994659260841701"/>
            </patternFill>
          </fill>
          <border>
            <left style="thin">
              <color theme="1" tint="0.14996795556505021"/>
            </left>
            <right style="thin">
              <color theme="1" tint="0.14996795556505021"/>
            </right>
            <top style="thin">
              <color theme="1" tint="0.14996795556505021"/>
            </top>
            <bottom style="thin">
              <color theme="1" tint="0.14996795556505021"/>
            </bottom>
          </border>
        </dxf>
        <dxf>
          <font>
            <b/>
            <i val="0"/>
            <sz val="12"/>
          </font>
          <fill>
            <patternFill>
              <fgColor theme="0" tint="-0.24994659260841701"/>
              <bgColor theme="0" tint="-0.14996795556505021"/>
            </patternFill>
          </fill>
          <border>
            <left style="thin">
              <color theme="1" tint="0.14996795556505021"/>
            </left>
            <right style="thin">
              <color theme="1" tint="0.14996795556505021"/>
            </right>
            <top style="thin">
              <color theme="1" tint="0.14996795556505021"/>
            </top>
            <bottom style="thin">
              <color theme="1" tint="0.14996795556505021"/>
            </bottom>
          </border>
        </dxf>
        <dxf>
          <font>
            <b/>
            <i val="0"/>
            <sz val="12"/>
          </font>
        </dxf>
        <dxf>
          <font>
            <b/>
            <i val="0"/>
            <sz val="12"/>
          </font>
          <fill>
            <patternFill>
              <bgColor theme="0" tint="-0.24994659260841701"/>
            </patternFill>
          </fill>
          <border>
            <left style="thin">
              <color theme="1" tint="4.9989318521683403E-2"/>
            </left>
            <right style="thin">
              <color theme="1" tint="4.9989318521683403E-2"/>
            </right>
            <top style="thin">
              <color theme="1" tint="4.9989318521683403E-2"/>
            </top>
            <bottom style="thin">
              <color theme="1" tint="4.9989318521683403E-2"/>
            </bottom>
          </border>
        </dxf>
        <dxf>
          <font>
            <b/>
            <i val="0"/>
            <sz val="12"/>
            <name val="Calibri"/>
            <family val="2"/>
            <scheme val="minor"/>
          </font>
          <fill>
            <patternFill>
              <bgColor theme="0" tint="-0.14996795556505021"/>
            </patternFill>
          </fill>
          <border>
            <left style="thin">
              <color theme="1" tint="0.14996795556505021"/>
            </left>
            <right style="thin">
              <color theme="1" tint="0.14996795556505021"/>
            </right>
            <top style="thin">
              <color theme="1" tint="0.14996795556505021"/>
            </top>
            <bottom style="thin">
              <color theme="1" tint="0.14996795556505021"/>
            </bottom>
          </border>
        </dxf>
        <dxf>
          <font>
            <b/>
            <i val="0"/>
            <sz val="14"/>
            <color theme="2" tint="-0.749961851863155"/>
          </font>
          <fill>
            <patternFill>
              <bgColor theme="5" tint="0.39994506668294322"/>
            </patternFill>
          </fill>
          <border>
            <left style="thin">
              <color auto="1"/>
            </left>
            <right style="thin">
              <color auto="1"/>
            </right>
            <top style="thin">
              <color auto="1"/>
            </top>
            <bottom style="thin">
              <color auto="1"/>
            </bottom>
            <vertical style="thin">
              <color auto="1"/>
            </vertical>
          </border>
        </dxf>
        <dxf>
          <font>
            <b/>
            <i val="0"/>
            <sz val="12"/>
          </font>
          <fill>
            <patternFill>
              <bgColor theme="0" tint="-0.24994659260841701"/>
            </patternFill>
          </fill>
          <border>
            <left style="thin">
              <color theme="1" tint="0.14996795556505021"/>
            </left>
            <right style="thin">
              <color theme="1" tint="0.14996795556505021"/>
            </right>
            <top style="thin">
              <color theme="1" tint="0.14996795556505021"/>
            </top>
            <bottom style="thin">
              <color theme="1" tint="0.14996795556505021"/>
            </bottom>
          </border>
        </dxf>
        <dxf>
          <font>
            <b/>
            <i val="0"/>
            <sz val="12"/>
          </font>
          <fill>
            <patternFill>
              <fgColor theme="0" tint="-0.24994659260841701"/>
              <bgColor theme="0" tint="-0.14996795556505021"/>
            </patternFill>
          </fill>
          <border>
            <left style="thin">
              <color theme="1" tint="0.14996795556505021"/>
            </left>
            <right style="thin">
              <color theme="1" tint="0.14996795556505021"/>
            </right>
            <top style="thin">
              <color theme="1" tint="0.14996795556505021"/>
            </top>
            <bottom style="thin">
              <color theme="1" tint="0.14996795556505021"/>
            </bottom>
          </border>
        </dxf>
        <dxf>
          <font>
            <b/>
            <i val="0"/>
            <sz val="12"/>
            <name val="Aptos"/>
            <family val="2"/>
            <scheme val="none"/>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36"/>
          </x14:slicerStyleElements>
        </x14:slicerStyle>
        <x14:slicerStyle name="Slicer Style 2">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[SalesData.xlsx]Dashboard!salestrend</c:name>
    <c:fmtId val="3"/>
  </c:pivotSource>
  <c:chart>
    <c:title>
      <c:tx>
        <c:rich>
          <a:bodyPr rot="0" spcFirstLastPara="1" vertOverflow="ellipsis" vert="horz" wrap="square" anchor="ctr" anchorCtr="1"/>
          <a:lstStyle/>
          <a:p>
            <a:pPr>
              <a:defRPr sz="2800" b="0" i="0" u="none" strike="noStrike" kern="1200" spc="0" baseline="0">
                <a:solidFill>
                  <a:schemeClr val="tx1">
                    <a:lumMod val="95000"/>
                    <a:lumOff val="5000"/>
                  </a:schemeClr>
                </a:solidFill>
                <a:latin typeface="+mn-lt"/>
                <a:ea typeface="+mn-ea"/>
                <a:cs typeface="+mn-cs"/>
              </a:defRPr>
            </a:pPr>
            <a:r>
              <a:rPr lang="en-US" sz="2800" b="1">
                <a:solidFill>
                  <a:schemeClr val="tx1">
                    <a:lumMod val="95000"/>
                    <a:lumOff val="5000"/>
                  </a:schemeClr>
                </a:solidFill>
              </a:rPr>
              <a:t>Sales Trend (2023-2025</a:t>
            </a:r>
            <a:r>
              <a:rPr lang="en-US" sz="2800">
                <a:solidFill>
                  <a:schemeClr val="tx1">
                    <a:lumMod val="95000"/>
                    <a:lumOff val="5000"/>
                  </a:schemeClr>
                </a:solidFill>
              </a:rPr>
              <a:t>)</a:t>
            </a:r>
          </a:p>
        </c:rich>
      </c:tx>
      <c:layout>
        <c:manualLayout>
          <c:xMode val="edge"/>
          <c:yMode val="edge"/>
          <c:x val="0.34486877921288672"/>
          <c:y val="6.0741654001084104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28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lumMod val="60000"/>
              <a:lumOff val="40000"/>
              <a:alpha val="72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128958405821781E-2"/>
          <c:y val="0.12368034744337723"/>
          <c:w val="0.93022892475857721"/>
          <c:h val="0.70780391734954307"/>
        </c:manualLayout>
      </c:layout>
      <c:areaChart>
        <c:grouping val="standard"/>
        <c:varyColors val="0"/>
        <c:ser>
          <c:idx val="0"/>
          <c:order val="0"/>
          <c:tx>
            <c:strRef>
              <c:f>Dashboard!$B$10</c:f>
              <c:strCache>
                <c:ptCount val="1"/>
                <c:pt idx="0">
                  <c:v>Total</c:v>
                </c:pt>
              </c:strCache>
            </c:strRef>
          </c:tx>
          <c:spPr>
            <a:solidFill>
              <a:schemeClr val="accent6">
                <a:lumMod val="60000"/>
                <a:lumOff val="40000"/>
                <a:alpha val="72000"/>
              </a:schemeClr>
            </a:solidFill>
            <a:ln>
              <a:solidFill>
                <a:schemeClr val="accent2">
                  <a:lumMod val="75000"/>
                </a:schemeClr>
              </a:solidFill>
            </a:ln>
            <a:effectLst/>
          </c:spPr>
          <c:cat>
            <c:multiLvlStrRef>
              <c:f>Dashboard!$A$11:$A$50</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2023</c:v>
                  </c:pt>
                  <c:pt idx="12">
                    <c:v>2024</c:v>
                  </c:pt>
                  <c:pt idx="24">
                    <c:v>2025</c:v>
                  </c:pt>
                </c:lvl>
              </c:multiLvlStrCache>
            </c:multiLvlStrRef>
          </c:cat>
          <c:val>
            <c:numRef>
              <c:f>Dashboard!$B$11:$B$50</c:f>
              <c:numCache>
                <c:formatCode>_ [$₹-4009]\ * #,##0_ ;_ [$₹-4009]\ * \-#,##0_ ;_ [$₹-4009]\ * "-"??_ ;_ @_ </c:formatCode>
                <c:ptCount val="36"/>
                <c:pt idx="0">
                  <c:v>276515</c:v>
                </c:pt>
                <c:pt idx="1">
                  <c:v>473810</c:v>
                </c:pt>
                <c:pt idx="2">
                  <c:v>279430</c:v>
                </c:pt>
                <c:pt idx="3">
                  <c:v>120025</c:v>
                </c:pt>
                <c:pt idx="4">
                  <c:v>313044</c:v>
                </c:pt>
                <c:pt idx="5">
                  <c:v>1125325</c:v>
                </c:pt>
                <c:pt idx="6">
                  <c:v>1167382</c:v>
                </c:pt>
                <c:pt idx="7">
                  <c:v>875418</c:v>
                </c:pt>
                <c:pt idx="8">
                  <c:v>591360</c:v>
                </c:pt>
                <c:pt idx="9">
                  <c:v>1272570</c:v>
                </c:pt>
                <c:pt idx="10">
                  <c:v>326028</c:v>
                </c:pt>
                <c:pt idx="11">
                  <c:v>808150</c:v>
                </c:pt>
                <c:pt idx="12">
                  <c:v>701470</c:v>
                </c:pt>
                <c:pt idx="13">
                  <c:v>286472</c:v>
                </c:pt>
                <c:pt idx="14">
                  <c:v>233950</c:v>
                </c:pt>
                <c:pt idx="15">
                  <c:v>539390</c:v>
                </c:pt>
                <c:pt idx="16">
                  <c:v>85120</c:v>
                </c:pt>
                <c:pt idx="17">
                  <c:v>127208</c:v>
                </c:pt>
                <c:pt idx="18">
                  <c:v>351220</c:v>
                </c:pt>
                <c:pt idx="19">
                  <c:v>650587</c:v>
                </c:pt>
                <c:pt idx="20">
                  <c:v>406196</c:v>
                </c:pt>
                <c:pt idx="21">
                  <c:v>304470</c:v>
                </c:pt>
                <c:pt idx="22">
                  <c:v>306530</c:v>
                </c:pt>
                <c:pt idx="23">
                  <c:v>432722</c:v>
                </c:pt>
                <c:pt idx="24">
                  <c:v>146750</c:v>
                </c:pt>
                <c:pt idx="25">
                  <c:v>519110</c:v>
                </c:pt>
                <c:pt idx="26">
                  <c:v>183020</c:v>
                </c:pt>
                <c:pt idx="27">
                  <c:v>516960</c:v>
                </c:pt>
                <c:pt idx="28">
                  <c:v>447466</c:v>
                </c:pt>
                <c:pt idx="29">
                  <c:v>123576</c:v>
                </c:pt>
                <c:pt idx="30">
                  <c:v>792000</c:v>
                </c:pt>
                <c:pt idx="31">
                  <c:v>619822</c:v>
                </c:pt>
                <c:pt idx="32">
                  <c:v>731004</c:v>
                </c:pt>
                <c:pt idx="33">
                  <c:v>1054340</c:v>
                </c:pt>
                <c:pt idx="34">
                  <c:v>512156</c:v>
                </c:pt>
                <c:pt idx="35">
                  <c:v>467178</c:v>
                </c:pt>
              </c:numCache>
            </c:numRef>
          </c:val>
          <c:extLst>
            <c:ext xmlns:c16="http://schemas.microsoft.com/office/drawing/2014/chart" uri="{C3380CC4-5D6E-409C-BE32-E72D297353CC}">
              <c16:uniqueId val="{00000000-DC57-45B2-95F9-55BDC7B0D31D}"/>
            </c:ext>
          </c:extLst>
        </c:ser>
        <c:dLbls>
          <c:showLegendKey val="0"/>
          <c:showVal val="0"/>
          <c:showCatName val="0"/>
          <c:showSerName val="0"/>
          <c:showPercent val="0"/>
          <c:showBubbleSize val="0"/>
        </c:dLbls>
        <c:axId val="593381983"/>
        <c:axId val="593383423"/>
      </c:areaChart>
      <c:catAx>
        <c:axId val="593381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93383423"/>
        <c:crosses val="autoZero"/>
        <c:auto val="1"/>
        <c:lblAlgn val="ctr"/>
        <c:lblOffset val="100"/>
        <c:noMultiLvlLbl val="0"/>
      </c:catAx>
      <c:valAx>
        <c:axId val="593383423"/>
        <c:scaling>
          <c:orientation val="minMax"/>
        </c:scaling>
        <c:delete val="0"/>
        <c:axPos val="l"/>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933819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65000"/>
        </a:schemeClr>
      </a:solidFill>
      <a:round/>
    </a:ln>
    <a:effectLst>
      <a:glow rad="63500">
        <a:schemeClr val="accent3">
          <a:satMod val="175000"/>
          <a:alpha val="40000"/>
        </a:schemeClr>
      </a:glow>
      <a:outerShdw blurRad="50800" dist="50800" dir="5400000" algn="ctr" rotWithShape="0">
        <a:schemeClr val="bg1">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[SalesData.xlsx]Dashboard!topproducts</c:name>
    <c:fmtId val="3"/>
  </c:pivotSource>
  <c:chart>
    <c:title>
      <c:tx>
        <c:rich>
          <a:bodyPr rot="0" spcFirstLastPara="1" vertOverflow="ellipsis" vert="horz" wrap="square" anchor="ctr" anchorCtr="1"/>
          <a:lstStyle/>
          <a:p>
            <a:pPr>
              <a:defRPr sz="3200" b="1" i="0" u="none" strike="noStrike" kern="1200" spc="0" baseline="0">
                <a:solidFill>
                  <a:schemeClr val="tx1">
                    <a:lumMod val="95000"/>
                    <a:lumOff val="5000"/>
                  </a:schemeClr>
                </a:solidFill>
                <a:latin typeface="+mn-lt"/>
                <a:ea typeface="+mn-ea"/>
                <a:cs typeface="+mn-cs"/>
              </a:defRPr>
            </a:pPr>
            <a:r>
              <a:rPr lang="en-US" sz="3200" b="1">
                <a:solidFill>
                  <a:schemeClr val="tx1">
                    <a:lumMod val="95000"/>
                    <a:lumOff val="5000"/>
                  </a:schemeClr>
                </a:solidFill>
              </a:rPr>
              <a:t>Top</a:t>
            </a:r>
            <a:r>
              <a:rPr lang="en-US" sz="3200" b="1" baseline="0">
                <a:solidFill>
                  <a:schemeClr val="tx1">
                    <a:lumMod val="95000"/>
                    <a:lumOff val="5000"/>
                  </a:schemeClr>
                </a:solidFill>
              </a:rPr>
              <a:t> Products</a:t>
            </a:r>
          </a:p>
        </c:rich>
      </c:tx>
      <c:layout>
        <c:manualLayout>
          <c:xMode val="edge"/>
          <c:yMode val="edge"/>
          <c:x val="0.42081131576510394"/>
          <c:y val="7.4019262259921142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32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c:spPr>
      </c:pivotFmt>
    </c:pivotFmts>
    <c:plotArea>
      <c:layout>
        <c:manualLayout>
          <c:layoutTarget val="inner"/>
          <c:xMode val="edge"/>
          <c:yMode val="edge"/>
          <c:x val="0.11662736793353952"/>
          <c:y val="0.21725358673374326"/>
          <c:w val="0.83891695819658618"/>
          <c:h val="0.66903225234903319"/>
        </c:manualLayout>
      </c:layout>
      <c:barChart>
        <c:barDir val="col"/>
        <c:grouping val="clustered"/>
        <c:varyColors val="0"/>
        <c:ser>
          <c:idx val="0"/>
          <c:order val="0"/>
          <c:tx>
            <c:strRef>
              <c:f>Dashboard!$E$10</c:f>
              <c:strCache>
                <c:ptCount val="1"/>
                <c:pt idx="0">
                  <c:v>Total</c:v>
                </c:pt>
              </c:strCache>
            </c:strRef>
          </c:tx>
          <c:spPr>
            <a:solidFill>
              <a:schemeClr val="accent1">
                <a:lumMod val="75000"/>
              </a:schemeClr>
            </a:solidFill>
            <a:ln>
              <a:noFill/>
            </a:ln>
            <a:effectLst/>
          </c:spPr>
          <c:invertIfNegative val="0"/>
          <c:cat>
            <c:strRef>
              <c:f>Dashboard!$D$11:$D$21</c:f>
              <c:strCache>
                <c:ptCount val="10"/>
                <c:pt idx="0">
                  <c:v>Laptop</c:v>
                </c:pt>
                <c:pt idx="1">
                  <c:v>Phone</c:v>
                </c:pt>
                <c:pt idx="2">
                  <c:v>Sofa</c:v>
                </c:pt>
                <c:pt idx="3">
                  <c:v>Printer</c:v>
                </c:pt>
                <c:pt idx="4">
                  <c:v>Table</c:v>
                </c:pt>
                <c:pt idx="5">
                  <c:v>Smart Watch</c:v>
                </c:pt>
                <c:pt idx="6">
                  <c:v>Headphones</c:v>
                </c:pt>
                <c:pt idx="7">
                  <c:v>Chair</c:v>
                </c:pt>
                <c:pt idx="8">
                  <c:v>Keyboard</c:v>
                </c:pt>
                <c:pt idx="9">
                  <c:v>Mouse</c:v>
                </c:pt>
              </c:strCache>
            </c:strRef>
          </c:cat>
          <c:val>
            <c:numRef>
              <c:f>Dashboard!$E$11:$E$21</c:f>
              <c:numCache>
                <c:formatCode>_ [$₹-4009]\ * #,##0_ ;_ [$₹-4009]\ * \-#,##0_ ;_ [$₹-4009]\ * "-"??_ ;_ @_ </c:formatCode>
                <c:ptCount val="10"/>
                <c:pt idx="0">
                  <c:v>7838000</c:v>
                </c:pt>
                <c:pt idx="1">
                  <c:v>4367000</c:v>
                </c:pt>
                <c:pt idx="2">
                  <c:v>1982850</c:v>
                </c:pt>
                <c:pt idx="3">
                  <c:v>1674160</c:v>
                </c:pt>
                <c:pt idx="4">
                  <c:v>836640</c:v>
                </c:pt>
                <c:pt idx="5">
                  <c:v>618650</c:v>
                </c:pt>
                <c:pt idx="6">
                  <c:v>362940</c:v>
                </c:pt>
                <c:pt idx="7">
                  <c:v>264840</c:v>
                </c:pt>
                <c:pt idx="8">
                  <c:v>169644</c:v>
                </c:pt>
                <c:pt idx="9">
                  <c:v>53050</c:v>
                </c:pt>
              </c:numCache>
            </c:numRef>
          </c:val>
          <c:extLst>
            <c:ext xmlns:c16="http://schemas.microsoft.com/office/drawing/2014/chart" uri="{C3380CC4-5D6E-409C-BE32-E72D297353CC}">
              <c16:uniqueId val="{00000000-186A-477C-BC33-03629E40B480}"/>
            </c:ext>
          </c:extLst>
        </c:ser>
        <c:dLbls>
          <c:showLegendKey val="0"/>
          <c:showVal val="0"/>
          <c:showCatName val="0"/>
          <c:showSerName val="0"/>
          <c:showPercent val="0"/>
          <c:showBubbleSize val="0"/>
        </c:dLbls>
        <c:gapWidth val="25"/>
        <c:overlap val="-27"/>
        <c:axId val="593380063"/>
        <c:axId val="593370943"/>
      </c:barChart>
      <c:catAx>
        <c:axId val="593380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93370943"/>
        <c:crosses val="autoZero"/>
        <c:auto val="1"/>
        <c:lblAlgn val="ctr"/>
        <c:lblOffset val="100"/>
        <c:noMultiLvlLbl val="0"/>
      </c:catAx>
      <c:valAx>
        <c:axId val="593370943"/>
        <c:scaling>
          <c:orientation val="minMax"/>
        </c:scaling>
        <c:delete val="0"/>
        <c:axPos val="l"/>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9338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65000"/>
        </a:schemeClr>
      </a:solidFill>
      <a:round/>
    </a:ln>
    <a:effectLst>
      <a:glow rad="63500">
        <a:schemeClr val="bg1">
          <a:lumMod val="85000"/>
          <a:alpha val="40000"/>
        </a:schemeClr>
      </a:glow>
      <a:outerShdw blurRad="50800" dist="50800" dir="5400000" algn="ctr" rotWithShape="0">
        <a:schemeClr val="bg1">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[SalesData.xlsx]Dashboard!categoryanalysis</c:name>
    <c:fmtId val="3"/>
  </c:pivotSource>
  <c:chart>
    <c:title>
      <c:tx>
        <c:rich>
          <a:bodyPr rot="0" spcFirstLastPara="1" vertOverflow="ellipsis" vert="horz" wrap="square" anchor="ctr" anchorCtr="1"/>
          <a:lstStyle/>
          <a:p>
            <a:pPr>
              <a:defRPr sz="2000" b="1" i="0" u="none" strike="noStrike" kern="1200" spc="0" baseline="0">
                <a:solidFill>
                  <a:schemeClr val="tx1">
                    <a:lumMod val="95000"/>
                    <a:lumOff val="5000"/>
                  </a:schemeClr>
                </a:solidFill>
                <a:latin typeface="+mn-lt"/>
                <a:ea typeface="+mn-ea"/>
                <a:cs typeface="+mn-cs"/>
              </a:defRPr>
            </a:pPr>
            <a:r>
              <a:rPr lang="en-US" sz="2000" b="1">
                <a:solidFill>
                  <a:schemeClr val="tx1">
                    <a:lumMod val="95000"/>
                    <a:lumOff val="5000"/>
                  </a:schemeClr>
                </a:solidFill>
              </a:rPr>
              <a:t>Category</a:t>
            </a:r>
            <a:r>
              <a:rPr lang="en-US" sz="2000" b="1" baseline="0">
                <a:solidFill>
                  <a:schemeClr val="tx1">
                    <a:lumMod val="95000"/>
                    <a:lumOff val="5000"/>
                  </a:schemeClr>
                </a:solidFill>
              </a:rPr>
              <a:t> Contribution</a:t>
            </a:r>
          </a:p>
        </c:rich>
      </c:tx>
      <c:layout>
        <c:manualLayout>
          <c:xMode val="edge"/>
          <c:yMode val="edge"/>
          <c:x val="0.1135988137895637"/>
          <c:y val="7.3634840424645992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20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3345862106352439E-2"/>
              <c:y val="-7.7420612052511134E-2"/>
            </c:manualLayout>
          </c:layout>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s>
    <c:plotArea>
      <c:layout/>
      <c:pieChart>
        <c:varyColors val="1"/>
        <c:ser>
          <c:idx val="0"/>
          <c:order val="0"/>
          <c:tx>
            <c:strRef>
              <c:f>Dashboard!$E$26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C0-48C9-8B12-C063F0574B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C0-48C9-8B12-C063F0574BA5}"/>
              </c:ext>
            </c:extLst>
          </c:dPt>
          <c:dLbls>
            <c:dLbl>
              <c:idx val="0"/>
              <c:layout>
                <c:manualLayout>
                  <c:x val="1.3345862106352439E-2"/>
                  <c:y val="-7.742061205251113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C0-48C9-8B12-C063F0574BA5}"/>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Dashboard!$D$27:$D$29</c:f>
              <c:strCache>
                <c:ptCount val="2"/>
                <c:pt idx="0">
                  <c:v>Electronics</c:v>
                </c:pt>
                <c:pt idx="1">
                  <c:v>Furniture</c:v>
                </c:pt>
              </c:strCache>
            </c:strRef>
          </c:cat>
          <c:val>
            <c:numRef>
              <c:f>Dashboard!$E$27:$E$29</c:f>
              <c:numCache>
                <c:formatCode>_ [$₹-4009]\ * #,##0_ ;_ [$₹-4009]\ * \-#,##0_ ;_ [$₹-4009]\ * "-"??_ ;_ @_ </c:formatCode>
                <c:ptCount val="2"/>
                <c:pt idx="0">
                  <c:v>15083444</c:v>
                </c:pt>
                <c:pt idx="1">
                  <c:v>3084330</c:v>
                </c:pt>
              </c:numCache>
            </c:numRef>
          </c:val>
          <c:extLst>
            <c:ext xmlns:c16="http://schemas.microsoft.com/office/drawing/2014/chart" uri="{C3380CC4-5D6E-409C-BE32-E72D297353CC}">
              <c16:uniqueId val="{00000004-F3C0-48C9-8B12-C063F0574BA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a:glow rad="101600">
        <a:schemeClr val="bg1">
          <a:lumMod val="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[SalesData.xlsx]Dashboard!cityanalysis</c:name>
    <c:fmtId val="3"/>
  </c:pivotSource>
  <c:chart>
    <c:title>
      <c:tx>
        <c:rich>
          <a:bodyPr rot="0" spcFirstLastPara="1" vertOverflow="ellipsis" vert="horz" wrap="square" anchor="ctr" anchorCtr="1"/>
          <a:lstStyle/>
          <a:p>
            <a:pPr>
              <a:defRPr sz="2400" b="1" i="0" u="none" strike="noStrike" kern="1200" spc="0" baseline="0">
                <a:solidFill>
                  <a:schemeClr val="tx1">
                    <a:lumMod val="95000"/>
                    <a:lumOff val="5000"/>
                  </a:schemeClr>
                </a:solidFill>
                <a:latin typeface="+mn-lt"/>
                <a:ea typeface="+mn-ea"/>
                <a:cs typeface="+mn-cs"/>
              </a:defRPr>
            </a:pPr>
            <a:r>
              <a:rPr lang="en-US" sz="2400" b="1">
                <a:solidFill>
                  <a:schemeClr val="tx1">
                    <a:lumMod val="95000"/>
                    <a:lumOff val="5000"/>
                  </a:schemeClr>
                </a:solidFill>
              </a:rPr>
              <a:t>Sales</a:t>
            </a:r>
            <a:r>
              <a:rPr lang="en-US" sz="2400" b="1" baseline="0">
                <a:solidFill>
                  <a:schemeClr val="tx1">
                    <a:lumMod val="95000"/>
                    <a:lumOff val="5000"/>
                  </a:schemeClr>
                </a:solidFill>
              </a:rPr>
              <a:t> by City</a:t>
            </a:r>
          </a:p>
        </c:rich>
      </c:tx>
      <c:layout>
        <c:manualLayout>
          <c:xMode val="edge"/>
          <c:yMode val="edge"/>
          <c:x val="0.37265047232241866"/>
          <c:y val="4.7495875984425978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2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0288792090231"/>
          <c:y val="0.1659517162365024"/>
          <c:w val="0.83702533793961431"/>
          <c:h val="0.4882445449057547"/>
        </c:manualLayout>
      </c:layout>
      <c:barChart>
        <c:barDir val="col"/>
        <c:grouping val="clustered"/>
        <c:varyColors val="0"/>
        <c:ser>
          <c:idx val="0"/>
          <c:order val="0"/>
          <c:tx>
            <c:strRef>
              <c:f>Dashboard!$E$35</c:f>
              <c:strCache>
                <c:ptCount val="1"/>
                <c:pt idx="0">
                  <c:v>Total</c:v>
                </c:pt>
              </c:strCache>
            </c:strRef>
          </c:tx>
          <c:spPr>
            <a:solidFill>
              <a:srgbClr val="7030A0"/>
            </a:solidFill>
            <a:ln>
              <a:noFill/>
            </a:ln>
            <a:effectLst/>
          </c:spPr>
          <c:invertIfNegative val="0"/>
          <c:cat>
            <c:strRef>
              <c:f>Dashboard!$D$36:$D$44</c:f>
              <c:strCache>
                <c:ptCount val="8"/>
                <c:pt idx="0">
                  <c:v>Guntur</c:v>
                </c:pt>
                <c:pt idx="1">
                  <c:v>Hyderabad</c:v>
                </c:pt>
                <c:pt idx="2">
                  <c:v>Karimnagar</c:v>
                </c:pt>
                <c:pt idx="3">
                  <c:v>Nizamabad</c:v>
                </c:pt>
                <c:pt idx="4">
                  <c:v>Tirupati</c:v>
                </c:pt>
                <c:pt idx="5">
                  <c:v>Vijayawada</c:v>
                </c:pt>
                <c:pt idx="6">
                  <c:v>Visakhapatnam</c:v>
                </c:pt>
                <c:pt idx="7">
                  <c:v>Warangal</c:v>
                </c:pt>
              </c:strCache>
            </c:strRef>
          </c:cat>
          <c:val>
            <c:numRef>
              <c:f>Dashboard!$E$36:$E$44</c:f>
              <c:numCache>
                <c:formatCode>_ [$₹-4009]\ * #,##0_ ;_ [$₹-4009]\ * \-#,##0_ ;_ [$₹-4009]\ * "-"??_ ;_ @_ </c:formatCode>
                <c:ptCount val="8"/>
                <c:pt idx="0">
                  <c:v>2066848</c:v>
                </c:pt>
                <c:pt idx="1">
                  <c:v>2115970</c:v>
                </c:pt>
                <c:pt idx="2">
                  <c:v>1860475</c:v>
                </c:pt>
                <c:pt idx="3">
                  <c:v>3498520</c:v>
                </c:pt>
                <c:pt idx="4">
                  <c:v>1843754</c:v>
                </c:pt>
                <c:pt idx="5">
                  <c:v>2571200</c:v>
                </c:pt>
                <c:pt idx="6">
                  <c:v>1491090</c:v>
                </c:pt>
                <c:pt idx="7">
                  <c:v>2719917</c:v>
                </c:pt>
              </c:numCache>
            </c:numRef>
          </c:val>
          <c:extLst>
            <c:ext xmlns:c16="http://schemas.microsoft.com/office/drawing/2014/chart" uri="{C3380CC4-5D6E-409C-BE32-E72D297353CC}">
              <c16:uniqueId val="{00000000-C0AF-4F84-892D-607FD7BBB728}"/>
            </c:ext>
          </c:extLst>
        </c:ser>
        <c:dLbls>
          <c:showLegendKey val="0"/>
          <c:showVal val="0"/>
          <c:showCatName val="0"/>
          <c:showSerName val="0"/>
          <c:showPercent val="0"/>
          <c:showBubbleSize val="0"/>
        </c:dLbls>
        <c:gapWidth val="20"/>
        <c:axId val="444014879"/>
        <c:axId val="444000959"/>
      </c:barChart>
      <c:catAx>
        <c:axId val="4440148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44000959"/>
        <c:crosses val="autoZero"/>
        <c:auto val="1"/>
        <c:lblAlgn val="ctr"/>
        <c:lblOffset val="100"/>
        <c:noMultiLvlLbl val="0"/>
      </c:catAx>
      <c:valAx>
        <c:axId val="444000959"/>
        <c:scaling>
          <c:orientation val="minMax"/>
        </c:scaling>
        <c:delete val="0"/>
        <c:axPos val="l"/>
        <c:numFmt formatCode="_ [$₹-4009]\ * #,##0_ ;_ [$₹-4009]\ * \-#,##0_ ;_ [$₹-4009]\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44014879"/>
        <c:crosses val="autoZero"/>
        <c:crossBetween val="between"/>
        <c:majorUnit val="500000"/>
        <c:minorUnit val="1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[SalesData.xlsx]Dashboard!regionanalysis</c:name>
    <c:fmtId val="3"/>
  </c:pivotSource>
  <c:chart>
    <c:title>
      <c:tx>
        <c:rich>
          <a:bodyPr rot="0" spcFirstLastPara="1" vertOverflow="ellipsis" vert="horz" wrap="square" anchor="ctr" anchorCtr="1"/>
          <a:lstStyle/>
          <a:p>
            <a:pPr>
              <a:defRPr sz="2400" b="1" i="0" u="none" strike="noStrike" kern="1200" spc="0" baseline="0">
                <a:solidFill>
                  <a:schemeClr val="tx1">
                    <a:lumMod val="95000"/>
                    <a:lumOff val="5000"/>
                  </a:schemeClr>
                </a:solidFill>
                <a:latin typeface="+mn-lt"/>
                <a:ea typeface="+mn-ea"/>
                <a:cs typeface="+mn-cs"/>
              </a:defRPr>
            </a:pPr>
            <a:r>
              <a:rPr lang="en-US" sz="2400" b="1">
                <a:solidFill>
                  <a:schemeClr val="tx1">
                    <a:lumMod val="95000"/>
                    <a:lumOff val="5000"/>
                  </a:schemeClr>
                </a:solidFill>
              </a:rPr>
              <a:t>Sales</a:t>
            </a:r>
            <a:r>
              <a:rPr lang="en-US" sz="2400" b="1" baseline="0">
                <a:solidFill>
                  <a:schemeClr val="tx1">
                    <a:lumMod val="95000"/>
                    <a:lumOff val="5000"/>
                  </a:schemeClr>
                </a:solidFill>
              </a:rPr>
              <a:t> by Region</a:t>
            </a:r>
          </a:p>
        </c:rich>
      </c:tx>
      <c:layout>
        <c:manualLayout>
          <c:xMode val="edge"/>
          <c:yMode val="edge"/>
          <c:x val="0.35504146712558404"/>
          <c:y val="5.3230430481896067E-2"/>
        </c:manualLayout>
      </c:layout>
      <c:overlay val="0"/>
      <c:spPr>
        <a:solidFill>
          <a:schemeClr val="accent1">
            <a:lumMod val="20000"/>
            <a:lumOff val="80000"/>
          </a:schemeClr>
        </a:solidFill>
        <a:ln>
          <a:solidFill>
            <a:schemeClr val="bg1">
              <a:lumMod val="65000"/>
            </a:schemeClr>
          </a:solidFill>
        </a:ln>
        <a:effectLst/>
      </c:spPr>
      <c:txPr>
        <a:bodyPr rot="0" spcFirstLastPara="1" vertOverflow="ellipsis" vert="horz" wrap="square" anchor="ctr" anchorCtr="1"/>
        <a:lstStyle/>
        <a:p>
          <a:pPr>
            <a:defRPr sz="2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8296520551059"/>
          <c:y val="0.16859580759373455"/>
          <c:w val="0.78684503062317634"/>
          <c:h val="0.72088764946048411"/>
        </c:manualLayout>
      </c:layout>
      <c:barChart>
        <c:barDir val="col"/>
        <c:grouping val="clustered"/>
        <c:varyColors val="0"/>
        <c:ser>
          <c:idx val="0"/>
          <c:order val="0"/>
          <c:tx>
            <c:strRef>
              <c:f>Dashboard!$H$9</c:f>
              <c:strCache>
                <c:ptCount val="1"/>
                <c:pt idx="0">
                  <c:v>Total</c:v>
                </c:pt>
              </c:strCache>
            </c:strRef>
          </c:tx>
          <c:spPr>
            <a:solidFill>
              <a:schemeClr val="accent2">
                <a:lumMod val="60000"/>
                <a:lumOff val="40000"/>
              </a:schemeClr>
            </a:solidFill>
            <a:ln>
              <a:noFill/>
            </a:ln>
            <a:effectLst/>
          </c:spPr>
          <c:invertIfNegative val="0"/>
          <c:cat>
            <c:strRef>
              <c:f>Dashboard!$G$10:$G$14</c:f>
              <c:strCache>
                <c:ptCount val="4"/>
                <c:pt idx="0">
                  <c:v>East</c:v>
                </c:pt>
                <c:pt idx="1">
                  <c:v>North</c:v>
                </c:pt>
                <c:pt idx="2">
                  <c:v>South</c:v>
                </c:pt>
                <c:pt idx="3">
                  <c:v>West</c:v>
                </c:pt>
              </c:strCache>
            </c:strRef>
          </c:cat>
          <c:val>
            <c:numRef>
              <c:f>Dashboard!$H$10:$H$14</c:f>
              <c:numCache>
                <c:formatCode>_ [$₹-4009]\ * #,##0_ ;_ [$₹-4009]\ * \-#,##0_ ;_ [$₹-4009]\ * "-"??_ ;_ @_ </c:formatCode>
                <c:ptCount val="4"/>
                <c:pt idx="0">
                  <c:v>6025189</c:v>
                </c:pt>
                <c:pt idx="1">
                  <c:v>4478721</c:v>
                </c:pt>
                <c:pt idx="2">
                  <c:v>4271363</c:v>
                </c:pt>
                <c:pt idx="3">
                  <c:v>3392501</c:v>
                </c:pt>
              </c:numCache>
            </c:numRef>
          </c:val>
          <c:extLst>
            <c:ext xmlns:c16="http://schemas.microsoft.com/office/drawing/2014/chart" uri="{C3380CC4-5D6E-409C-BE32-E72D297353CC}">
              <c16:uniqueId val="{00000000-B1D2-4B2A-83AB-FD159F1971AE}"/>
            </c:ext>
          </c:extLst>
        </c:ser>
        <c:dLbls>
          <c:showLegendKey val="0"/>
          <c:showVal val="0"/>
          <c:showCatName val="0"/>
          <c:showSerName val="0"/>
          <c:showPercent val="0"/>
          <c:showBubbleSize val="0"/>
        </c:dLbls>
        <c:gapWidth val="25"/>
        <c:overlap val="-27"/>
        <c:axId val="500358943"/>
        <c:axId val="500342623"/>
      </c:barChart>
      <c:catAx>
        <c:axId val="50035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00342623"/>
        <c:crosses val="autoZero"/>
        <c:auto val="1"/>
        <c:lblAlgn val="ctr"/>
        <c:lblOffset val="100"/>
        <c:noMultiLvlLbl val="0"/>
      </c:catAx>
      <c:valAx>
        <c:axId val="500342623"/>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00358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a:glow rad="101600">
        <a:schemeClr val="bg1">
          <a:lumMod val="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[SalesData.xlsx]Dashboard!salespersonanalysis</c:name>
    <c:fmtId val="3"/>
  </c:pivotSource>
  <c:chart>
    <c:title>
      <c:tx>
        <c:rich>
          <a:bodyPr rot="0" spcFirstLastPara="1" vertOverflow="ellipsis" vert="horz" wrap="square" anchor="ctr" anchorCtr="1"/>
          <a:lstStyle/>
          <a:p>
            <a:pPr>
              <a:defRPr sz="2800" b="0" i="0" u="none" strike="noStrike" kern="1200" spc="0" baseline="0">
                <a:solidFill>
                  <a:schemeClr val="tx1">
                    <a:lumMod val="95000"/>
                    <a:lumOff val="5000"/>
                  </a:schemeClr>
                </a:solidFill>
                <a:latin typeface="+mn-lt"/>
                <a:ea typeface="+mn-ea"/>
                <a:cs typeface="+mn-cs"/>
              </a:defRPr>
            </a:pPr>
            <a:r>
              <a:rPr lang="en-US" sz="2800" b="1">
                <a:solidFill>
                  <a:schemeClr val="tx1">
                    <a:lumMod val="95000"/>
                    <a:lumOff val="5000"/>
                  </a:schemeClr>
                </a:solidFill>
              </a:rPr>
              <a:t>SalesPerson</a:t>
            </a:r>
            <a:r>
              <a:rPr lang="en-US" sz="2800" baseline="0">
                <a:solidFill>
                  <a:schemeClr val="tx1">
                    <a:lumMod val="95000"/>
                    <a:lumOff val="5000"/>
                  </a:schemeClr>
                </a:solidFill>
              </a:rPr>
              <a:t> </a:t>
            </a:r>
            <a:r>
              <a:rPr lang="en-US" sz="2800" b="1" baseline="0">
                <a:solidFill>
                  <a:schemeClr val="tx1">
                    <a:lumMod val="95000"/>
                    <a:lumOff val="5000"/>
                  </a:schemeClr>
                </a:solidFill>
              </a:rPr>
              <a:t>Performance</a:t>
            </a:r>
            <a:endParaRPr lang="en-US" sz="2800" b="1">
              <a:solidFill>
                <a:schemeClr val="tx1">
                  <a:lumMod val="95000"/>
                  <a:lumOff val="5000"/>
                </a:schemeClr>
              </a:solidFill>
            </a:endParaRP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28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89373388712162"/>
          <c:y val="0.1876610299751176"/>
          <c:w val="0.86469856792593514"/>
          <c:h val="0.74245522234055927"/>
        </c:manualLayout>
      </c:layout>
      <c:barChart>
        <c:barDir val="col"/>
        <c:grouping val="clustered"/>
        <c:varyColors val="0"/>
        <c:ser>
          <c:idx val="0"/>
          <c:order val="0"/>
          <c:tx>
            <c:strRef>
              <c:f>Dashboard!$H$34</c:f>
              <c:strCache>
                <c:ptCount val="1"/>
                <c:pt idx="0">
                  <c:v>Total</c:v>
                </c:pt>
              </c:strCache>
            </c:strRef>
          </c:tx>
          <c:spPr>
            <a:solidFill>
              <a:schemeClr val="accent1">
                <a:lumMod val="60000"/>
                <a:lumOff val="40000"/>
              </a:schemeClr>
            </a:solidFill>
            <a:ln>
              <a:noFill/>
            </a:ln>
            <a:effectLst/>
          </c:spPr>
          <c:invertIfNegative val="0"/>
          <c:cat>
            <c:strRef>
              <c:f>Dashboard!$G$35:$G$43</c:f>
              <c:strCache>
                <c:ptCount val="8"/>
                <c:pt idx="0">
                  <c:v>Akhil</c:v>
                </c:pt>
                <c:pt idx="1">
                  <c:v>Anil</c:v>
                </c:pt>
                <c:pt idx="2">
                  <c:v>Divya</c:v>
                </c:pt>
                <c:pt idx="3">
                  <c:v>Kiran</c:v>
                </c:pt>
                <c:pt idx="4">
                  <c:v>Priya</c:v>
                </c:pt>
                <c:pt idx="5">
                  <c:v>Rahul</c:v>
                </c:pt>
                <c:pt idx="6">
                  <c:v>Ramesh</c:v>
                </c:pt>
                <c:pt idx="7">
                  <c:v>Sneha</c:v>
                </c:pt>
              </c:strCache>
            </c:strRef>
          </c:cat>
          <c:val>
            <c:numRef>
              <c:f>Dashboard!$H$35:$H$43</c:f>
              <c:numCache>
                <c:formatCode>_ [$₹-4009]\ * #,##0_ ;_ [$₹-4009]\ * \-#,##0_ ;_ [$₹-4009]\ * "-"??_ ;_ @_ </c:formatCode>
                <c:ptCount val="8"/>
                <c:pt idx="0">
                  <c:v>2438120</c:v>
                </c:pt>
                <c:pt idx="1">
                  <c:v>1415798</c:v>
                </c:pt>
                <c:pt idx="2">
                  <c:v>2259690</c:v>
                </c:pt>
                <c:pt idx="3">
                  <c:v>2959572</c:v>
                </c:pt>
                <c:pt idx="4">
                  <c:v>3187445</c:v>
                </c:pt>
                <c:pt idx="5">
                  <c:v>2086044</c:v>
                </c:pt>
                <c:pt idx="6">
                  <c:v>2478420</c:v>
                </c:pt>
                <c:pt idx="7">
                  <c:v>1342685</c:v>
                </c:pt>
              </c:numCache>
            </c:numRef>
          </c:val>
          <c:extLst>
            <c:ext xmlns:c16="http://schemas.microsoft.com/office/drawing/2014/chart" uri="{C3380CC4-5D6E-409C-BE32-E72D297353CC}">
              <c16:uniqueId val="{00000000-FFBF-450D-8D4A-A06337DEF0F7}"/>
            </c:ext>
          </c:extLst>
        </c:ser>
        <c:dLbls>
          <c:showLegendKey val="0"/>
          <c:showVal val="0"/>
          <c:showCatName val="0"/>
          <c:showSerName val="0"/>
          <c:showPercent val="0"/>
          <c:showBubbleSize val="0"/>
        </c:dLbls>
        <c:gapWidth val="20"/>
        <c:axId val="884657087"/>
        <c:axId val="884648927"/>
      </c:barChart>
      <c:catAx>
        <c:axId val="88465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84648927"/>
        <c:crosses val="autoZero"/>
        <c:auto val="1"/>
        <c:lblAlgn val="ctr"/>
        <c:lblOffset val="100"/>
        <c:noMultiLvlLbl val="0"/>
      </c:catAx>
      <c:valAx>
        <c:axId val="884648927"/>
        <c:scaling>
          <c:orientation val="minMax"/>
          <c:max val="3000000"/>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84657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[SalesData.xlsx]Dashboard!paymentanalysis</c:name>
    <c:fmtId val="22"/>
  </c:pivotSource>
  <c:chart>
    <c:title>
      <c:tx>
        <c:rich>
          <a:bodyPr rot="0" spcFirstLastPara="1" vertOverflow="ellipsis" vert="horz" wrap="square" anchor="ctr" anchorCtr="1"/>
          <a:lstStyle/>
          <a:p>
            <a:pPr>
              <a:defRPr sz="2800" b="0" i="0" u="none" strike="noStrike" kern="1200" spc="0" baseline="0">
                <a:solidFill>
                  <a:schemeClr val="tx1">
                    <a:lumMod val="95000"/>
                    <a:lumOff val="5000"/>
                  </a:schemeClr>
                </a:solidFill>
                <a:latin typeface="+mn-lt"/>
                <a:ea typeface="+mn-ea"/>
                <a:cs typeface="+mn-cs"/>
              </a:defRPr>
            </a:pPr>
            <a:r>
              <a:rPr lang="en-US" sz="2800" b="1">
                <a:solidFill>
                  <a:schemeClr val="tx1">
                    <a:lumMod val="95000"/>
                    <a:lumOff val="5000"/>
                  </a:schemeClr>
                </a:solidFill>
              </a:rPr>
              <a:t>Payment</a:t>
            </a:r>
            <a:r>
              <a:rPr lang="en-US" sz="2800" baseline="0">
                <a:solidFill>
                  <a:schemeClr val="tx1">
                    <a:lumMod val="95000"/>
                    <a:lumOff val="5000"/>
                  </a:schemeClr>
                </a:solidFill>
              </a:rPr>
              <a:t> </a:t>
            </a:r>
            <a:r>
              <a:rPr lang="en-US" sz="2800" b="1" baseline="0">
                <a:solidFill>
                  <a:schemeClr val="tx1">
                    <a:lumMod val="95000"/>
                    <a:lumOff val="5000"/>
                  </a:schemeClr>
                </a:solidFill>
              </a:rPr>
              <a:t>Modes</a:t>
            </a:r>
            <a:endParaRPr lang="en-US" sz="2800" b="1">
              <a:solidFill>
                <a:schemeClr val="tx1">
                  <a:lumMod val="95000"/>
                  <a:lumOff val="5000"/>
                </a:schemeClr>
              </a:solidFill>
            </a:endParaRPr>
          </a:p>
        </c:rich>
      </c:tx>
      <c:layout>
        <c:manualLayout>
          <c:xMode val="edge"/>
          <c:yMode val="edge"/>
          <c:x val="0.26150189251198963"/>
          <c:y val="4.6268684435012898E-2"/>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28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11584697610259456"/>
          <c:y val="0.21734029474142957"/>
          <c:w val="0.59784503971972669"/>
          <c:h val="0.78117448380630716"/>
        </c:manualLayout>
      </c:layout>
      <c:doughnutChart>
        <c:varyColors val="1"/>
        <c:ser>
          <c:idx val="0"/>
          <c:order val="0"/>
          <c:tx>
            <c:strRef>
              <c:f>Dashboard!$H$25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D8-40DB-8DA3-B9010CB785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D8-40DB-8DA3-B9010CB785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D8-40DB-8DA3-B9010CB7850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D8-40DB-8DA3-B9010CB7850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DD8-40DB-8DA3-B9010CB78508}"/>
              </c:ext>
            </c:extLst>
          </c:dPt>
          <c:cat>
            <c:strRef>
              <c:f>Dashboard!$G$26:$G$31</c:f>
              <c:strCache>
                <c:ptCount val="5"/>
                <c:pt idx="0">
                  <c:v>Cash</c:v>
                </c:pt>
                <c:pt idx="1">
                  <c:v>Credit Card</c:v>
                </c:pt>
                <c:pt idx="2">
                  <c:v>Debit Card</c:v>
                </c:pt>
                <c:pt idx="3">
                  <c:v>Net Banking</c:v>
                </c:pt>
                <c:pt idx="4">
                  <c:v>UPI</c:v>
                </c:pt>
              </c:strCache>
            </c:strRef>
          </c:cat>
          <c:val>
            <c:numRef>
              <c:f>Dashboard!$H$26:$H$31</c:f>
              <c:numCache>
                <c:formatCode>General</c:formatCode>
                <c:ptCount val="5"/>
                <c:pt idx="0">
                  <c:v>57</c:v>
                </c:pt>
                <c:pt idx="1">
                  <c:v>76</c:v>
                </c:pt>
                <c:pt idx="2">
                  <c:v>49</c:v>
                </c:pt>
                <c:pt idx="3">
                  <c:v>55</c:v>
                </c:pt>
                <c:pt idx="4">
                  <c:v>63</c:v>
                </c:pt>
              </c:numCache>
            </c:numRef>
          </c:val>
          <c:extLst>
            <c:ext xmlns:c16="http://schemas.microsoft.com/office/drawing/2014/chart" uri="{C3380CC4-5D6E-409C-BE32-E72D297353CC}">
              <c16:uniqueId val="{0000000A-FDD8-40DB-8DA3-B9010CB7850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65000"/>
        </a:schemeClr>
      </a:solidFill>
      <a:round/>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9</xdr:col>
      <xdr:colOff>1598</xdr:colOff>
      <xdr:row>1</xdr:row>
      <xdr:rowOff>25807</xdr:rowOff>
    </xdr:from>
    <xdr:to>
      <xdr:col>11</xdr:col>
      <xdr:colOff>197</xdr:colOff>
      <xdr:row>7</xdr:row>
      <xdr:rowOff>10973</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80FFD5A9-330B-DC1B-2D24-D21A1B11404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318278" y="210758"/>
              <a:ext cx="1825919" cy="1109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27512</xdr:colOff>
      <xdr:row>27</xdr:row>
      <xdr:rowOff>26538</xdr:rowOff>
    </xdr:from>
    <xdr:to>
      <xdr:col>11</xdr:col>
      <xdr:colOff>38587</xdr:colOff>
      <xdr:row>40</xdr:row>
      <xdr:rowOff>30303</xdr:rowOff>
    </xdr:to>
    <mc:AlternateContent xmlns:mc="http://schemas.openxmlformats.org/markup-compatibility/2006" xmlns:a14="http://schemas.microsoft.com/office/drawing/2010/main">
      <mc:Choice Requires="a14">
        <xdr:graphicFrame macro="">
          <xdr:nvGraphicFramePr>
            <xdr:cNvPr id="11" name="City">
              <a:extLst>
                <a:ext uri="{FF2B5EF4-FFF2-40B4-BE49-F238E27FC236}">
                  <a16:creationId xmlns:a16="http://schemas.microsoft.com/office/drawing/2014/main" id="{CCCB3134-95BC-A88F-90F7-E7B70AFB9A7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344192" y="5123800"/>
              <a:ext cx="1838395" cy="24525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34866</xdr:colOff>
      <xdr:row>17</xdr:row>
      <xdr:rowOff>21709</xdr:rowOff>
    </xdr:from>
    <xdr:to>
      <xdr:col>11</xdr:col>
      <xdr:colOff>42619</xdr:colOff>
      <xdr:row>25</xdr:row>
      <xdr:rowOff>51170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2884FE5E-353D-8683-5823-275E13A151E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351546" y="3225068"/>
              <a:ext cx="1835073" cy="1553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37517</xdr:colOff>
      <xdr:row>8</xdr:row>
      <xdr:rowOff>19412</xdr:rowOff>
    </xdr:from>
    <xdr:to>
      <xdr:col>11</xdr:col>
      <xdr:colOff>44372</xdr:colOff>
      <xdr:row>15</xdr:row>
      <xdr:rowOff>77460</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413A9653-FC5F-40A2-E3D9-B0DB9C88814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354197" y="1558208"/>
              <a:ext cx="1834175" cy="1352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68036</xdr:rowOff>
    </xdr:from>
    <xdr:to>
      <xdr:col>18</xdr:col>
      <xdr:colOff>1085850</xdr:colOff>
      <xdr:row>24</xdr:row>
      <xdr:rowOff>21516</xdr:rowOff>
    </xdr:to>
    <xdr:graphicFrame macro="">
      <xdr:nvGraphicFramePr>
        <xdr:cNvPr id="2" name="Chart 1">
          <a:extLst>
            <a:ext uri="{FF2B5EF4-FFF2-40B4-BE49-F238E27FC236}">
              <a16:creationId xmlns:a16="http://schemas.microsoft.com/office/drawing/2014/main" id="{97A07CCE-544C-4359-A0B2-52E78A2DDE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514350</xdr:colOff>
      <xdr:row>42</xdr:row>
      <xdr:rowOff>52308</xdr:rowOff>
    </xdr:from>
    <xdr:to>
      <xdr:col>17</xdr:col>
      <xdr:colOff>57150</xdr:colOff>
      <xdr:row>63</xdr:row>
      <xdr:rowOff>84667</xdr:rowOff>
    </xdr:to>
    <xdr:graphicFrame macro="">
      <xdr:nvGraphicFramePr>
        <xdr:cNvPr id="3" name="Chart 2">
          <a:extLst>
            <a:ext uri="{FF2B5EF4-FFF2-40B4-BE49-F238E27FC236}">
              <a16:creationId xmlns:a16="http://schemas.microsoft.com/office/drawing/2014/main" id="{C330F8DA-B39C-4E9F-8EDF-BF5665841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33868</xdr:colOff>
      <xdr:row>25</xdr:row>
      <xdr:rowOff>0</xdr:rowOff>
    </xdr:from>
    <xdr:to>
      <xdr:col>4</xdr:col>
      <xdr:colOff>19050</xdr:colOff>
      <xdr:row>41</xdr:row>
      <xdr:rowOff>120284</xdr:rowOff>
    </xdr:to>
    <xdr:graphicFrame macro="">
      <xdr:nvGraphicFramePr>
        <xdr:cNvPr id="4" name="Chart 3">
          <a:extLst>
            <a:ext uri="{FF2B5EF4-FFF2-40B4-BE49-F238E27FC236}">
              <a16:creationId xmlns:a16="http://schemas.microsoft.com/office/drawing/2014/main" id="{6B308424-A124-4570-B383-1567D645F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838200</xdr:colOff>
      <xdr:row>24</xdr:row>
      <xdr:rowOff>135467</xdr:rowOff>
    </xdr:from>
    <xdr:to>
      <xdr:col>21</xdr:col>
      <xdr:colOff>114299</xdr:colOff>
      <xdr:row>41</xdr:row>
      <xdr:rowOff>73279</xdr:rowOff>
    </xdr:to>
    <xdr:graphicFrame macro="">
      <xdr:nvGraphicFramePr>
        <xdr:cNvPr id="5" name="Chart 4">
          <a:extLst>
            <a:ext uri="{FF2B5EF4-FFF2-40B4-BE49-F238E27FC236}">
              <a16:creationId xmlns:a16="http://schemas.microsoft.com/office/drawing/2014/main" id="{2900E834-41DB-4CE8-BCBF-700DD0A50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285750</xdr:colOff>
      <xdr:row>24</xdr:row>
      <xdr:rowOff>169334</xdr:rowOff>
    </xdr:from>
    <xdr:to>
      <xdr:col>14</xdr:col>
      <xdr:colOff>742950</xdr:colOff>
      <xdr:row>41</xdr:row>
      <xdr:rowOff>86417</xdr:rowOff>
    </xdr:to>
    <xdr:graphicFrame macro="">
      <xdr:nvGraphicFramePr>
        <xdr:cNvPr id="6" name="Chart 5">
          <a:extLst>
            <a:ext uri="{FF2B5EF4-FFF2-40B4-BE49-F238E27FC236}">
              <a16:creationId xmlns:a16="http://schemas.microsoft.com/office/drawing/2014/main" id="{BED7AFB1-F03B-4BE1-8A4C-8C1263BE4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0</xdr:row>
      <xdr:rowOff>57150</xdr:rowOff>
    </xdr:from>
    <xdr:to>
      <xdr:col>24</xdr:col>
      <xdr:colOff>609600</xdr:colOff>
      <xdr:row>4</xdr:row>
      <xdr:rowOff>23533</xdr:rowOff>
    </xdr:to>
    <xdr:sp macro="" textlink="">
      <xdr:nvSpPr>
        <xdr:cNvPr id="7" name="Rectangle: Rounded Corners 6">
          <a:extLst>
            <a:ext uri="{FF2B5EF4-FFF2-40B4-BE49-F238E27FC236}">
              <a16:creationId xmlns:a16="http://schemas.microsoft.com/office/drawing/2014/main" id="{ACFD79E0-AF68-F179-F744-A7C4A94F2CA8}"/>
            </a:ext>
          </a:extLst>
        </xdr:cNvPr>
        <xdr:cNvSpPr/>
      </xdr:nvSpPr>
      <xdr:spPr>
        <a:xfrm>
          <a:off x="0" y="57150"/>
          <a:ext cx="25946100" cy="728383"/>
        </a:xfrm>
        <a:prstGeom prst="roundRect">
          <a:avLst/>
        </a:prstGeom>
        <a:solidFill>
          <a:schemeClr val="accent2">
            <a:lumMod val="20000"/>
            <a:lumOff val="80000"/>
          </a:schemeClr>
        </a:solidFill>
        <a:ln>
          <a:solidFill>
            <a:schemeClr val="accent2">
              <a:lumMod val="20000"/>
              <a:lumOff val="80000"/>
            </a:schemeClr>
          </a:solidFill>
        </a:ln>
        <a:effectLst>
          <a:glow rad="635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 </a:t>
          </a:r>
          <a:r>
            <a:rPr lang="en-IN" sz="3200" b="1">
              <a:solidFill>
                <a:schemeClr val="tx1"/>
              </a:solidFill>
            </a:rPr>
            <a:t>Sales Performance Analysis Dashboard (2023–2025)</a:t>
          </a:r>
        </a:p>
      </xdr:txBody>
    </xdr:sp>
    <xdr:clientData/>
  </xdr:twoCellAnchor>
  <xdr:twoCellAnchor>
    <xdr:from>
      <xdr:col>0</xdr:col>
      <xdr:colOff>16933</xdr:colOff>
      <xdr:row>42</xdr:row>
      <xdr:rowOff>61567</xdr:rowOff>
    </xdr:from>
    <xdr:to>
      <xdr:col>8</xdr:col>
      <xdr:colOff>342900</xdr:colOff>
      <xdr:row>63</xdr:row>
      <xdr:rowOff>86127</xdr:rowOff>
    </xdr:to>
    <xdr:graphicFrame macro="">
      <xdr:nvGraphicFramePr>
        <xdr:cNvPr id="8" name="Chart 7">
          <a:extLst>
            <a:ext uri="{FF2B5EF4-FFF2-40B4-BE49-F238E27FC236}">
              <a16:creationId xmlns:a16="http://schemas.microsoft.com/office/drawing/2014/main" id="{58510A35-E1F7-47F8-A9CB-067C54204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441952</xdr:colOff>
      <xdr:row>0</xdr:row>
      <xdr:rowOff>129912</xdr:rowOff>
    </xdr:from>
    <xdr:to>
      <xdr:col>11</xdr:col>
      <xdr:colOff>365053</xdr:colOff>
      <xdr:row>3</xdr:row>
      <xdr:rowOff>100605</xdr:rowOff>
    </xdr:to>
    <xdr:pic>
      <xdr:nvPicPr>
        <xdr:cNvPr id="11" name="Graphic 10" descr="Bar graph with upward trend with solid fill">
          <a:extLst>
            <a:ext uri="{FF2B5EF4-FFF2-40B4-BE49-F238E27FC236}">
              <a16:creationId xmlns:a16="http://schemas.microsoft.com/office/drawing/2014/main" id="{8FB452C5-142E-FF29-AD7B-6BE052D9CDE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061952" y="129912"/>
          <a:ext cx="532701" cy="542193"/>
        </a:xfrm>
        <a:prstGeom prst="rect">
          <a:avLst/>
        </a:prstGeom>
      </xdr:spPr>
    </xdr:pic>
    <xdr:clientData/>
  </xdr:twoCellAnchor>
  <xdr:twoCellAnchor>
    <xdr:from>
      <xdr:col>17</xdr:col>
      <xdr:colOff>190500</xdr:colOff>
      <xdr:row>42</xdr:row>
      <xdr:rowOff>63645</xdr:rowOff>
    </xdr:from>
    <xdr:to>
      <xdr:col>21</xdr:col>
      <xdr:colOff>19049</xdr:colOff>
      <xdr:row>63</xdr:row>
      <xdr:rowOff>101600</xdr:rowOff>
    </xdr:to>
    <xdr:graphicFrame macro="">
      <xdr:nvGraphicFramePr>
        <xdr:cNvPr id="12" name="Chart 11">
          <a:extLst>
            <a:ext uri="{FF2B5EF4-FFF2-40B4-BE49-F238E27FC236}">
              <a16:creationId xmlns:a16="http://schemas.microsoft.com/office/drawing/2014/main" id="{7F435DC4-B797-4E1D-9A5A-8ECD651BC0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582842</xdr:colOff>
      <xdr:row>9</xdr:row>
      <xdr:rowOff>224220</xdr:rowOff>
    </xdr:from>
    <xdr:to>
      <xdr:col>21</xdr:col>
      <xdr:colOff>528842</xdr:colOff>
      <xdr:row>21</xdr:row>
      <xdr:rowOff>62370</xdr:rowOff>
    </xdr:to>
    <mc:AlternateContent xmlns:mc="http://schemas.openxmlformats.org/markup-compatibility/2006">
      <mc:Choice xmlns:a14="http://schemas.microsoft.com/office/drawing/2010/main" Requires="a14">
        <xdr:graphicFrame macro="">
          <xdr:nvGraphicFramePr>
            <xdr:cNvPr id="14" name="Category 1">
              <a:extLst>
                <a:ext uri="{FF2B5EF4-FFF2-40B4-BE49-F238E27FC236}">
                  <a16:creationId xmlns:a16="http://schemas.microsoft.com/office/drawing/2014/main" id="{7EB43972-CE68-4178-ACFA-E4D1D3FEC68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7937392" y="2300670"/>
              <a:ext cx="2765400" cy="24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939798</xdr:colOff>
      <xdr:row>9</xdr:row>
      <xdr:rowOff>175260</xdr:rowOff>
    </xdr:from>
    <xdr:to>
      <xdr:col>22</xdr:col>
      <xdr:colOff>1599198</xdr:colOff>
      <xdr:row>23</xdr:row>
      <xdr:rowOff>172410</xdr:rowOff>
    </xdr:to>
    <mc:AlternateContent xmlns:mc="http://schemas.openxmlformats.org/markup-compatibility/2006">
      <mc:Choice xmlns:a14="http://schemas.microsoft.com/office/drawing/2010/main" Requires="a14">
        <xdr:graphicFrame macro="">
          <xdr:nvGraphicFramePr>
            <xdr:cNvPr id="15" name="Year 1">
              <a:extLst>
                <a:ext uri="{FF2B5EF4-FFF2-40B4-BE49-F238E27FC236}">
                  <a16:creationId xmlns:a16="http://schemas.microsoft.com/office/drawing/2014/main" id="{6EC577AD-0991-4AA1-804C-DEFBE7451AF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1113748" y="2251710"/>
              <a:ext cx="2412000" cy="29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36720</xdr:colOff>
      <xdr:row>9</xdr:row>
      <xdr:rowOff>171725</xdr:rowOff>
    </xdr:from>
    <xdr:to>
      <xdr:col>24</xdr:col>
      <xdr:colOff>860873</xdr:colOff>
      <xdr:row>29</xdr:row>
      <xdr:rowOff>80257</xdr:rowOff>
    </xdr:to>
    <mc:AlternateContent xmlns:mc="http://schemas.openxmlformats.org/markup-compatibility/2006">
      <mc:Choice xmlns:a14="http://schemas.microsoft.com/office/drawing/2010/main" Requires="a14">
        <xdr:graphicFrame macro="">
          <xdr:nvGraphicFramePr>
            <xdr:cNvPr id="16" name="Region 1">
              <a:extLst>
                <a:ext uri="{FF2B5EF4-FFF2-40B4-BE49-F238E27FC236}">
                  <a16:creationId xmlns:a16="http://schemas.microsoft.com/office/drawing/2014/main" id="{C0FEB830-43FE-417D-A175-9D710768EB7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3906370" y="2248175"/>
              <a:ext cx="2291003" cy="40423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262559</xdr:colOff>
      <xdr:row>24</xdr:row>
      <xdr:rowOff>118440</xdr:rowOff>
    </xdr:from>
    <xdr:to>
      <xdr:col>22</xdr:col>
      <xdr:colOff>1799431</xdr:colOff>
      <xdr:row>56</xdr:row>
      <xdr:rowOff>106441</xdr:rowOff>
    </xdr:to>
    <mc:AlternateContent xmlns:mc="http://schemas.openxmlformats.org/markup-compatibility/2006">
      <mc:Choice xmlns:a14="http://schemas.microsoft.com/office/drawing/2010/main" Requires="a14">
        <xdr:graphicFrame macro="">
          <xdr:nvGraphicFramePr>
            <xdr:cNvPr id="17" name="City 1">
              <a:extLst>
                <a:ext uri="{FF2B5EF4-FFF2-40B4-BE49-F238E27FC236}">
                  <a16:creationId xmlns:a16="http://schemas.microsoft.com/office/drawing/2014/main" id="{79B6CB86-6D1E-4C73-8037-E16C3E4C04B2}"/>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0436509" y="5376240"/>
              <a:ext cx="3289472" cy="6084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EPTHI REDDY" refreshedDate="46196.704560648148" createdVersion="8" refreshedVersion="8" minRefreshableVersion="3" recordCount="300" xr:uid="{AE04885E-0C00-4036-818D-126524F1A250}">
  <cacheSource type="worksheet">
    <worksheetSource name="salesdata"/>
  </cacheSource>
  <cacheFields count="17">
    <cacheField name="Order_ID" numFmtId="0">
      <sharedItems containsSemiMixedTypes="0" containsString="0" containsNumber="1" containsInteger="1" minValue="10001" maxValue="10300"/>
    </cacheField>
    <cacheField name="Order_Date" numFmtId="0">
      <sharedItems/>
    </cacheField>
    <cacheField name="Customer_ID" numFmtId="0">
      <sharedItems/>
    </cacheField>
    <cacheField name="Product" numFmtId="0">
      <sharedItems count="10">
        <s v="Headphones"/>
        <s v="Sofa"/>
        <s v="Phone"/>
        <s v="Printer"/>
        <s v="Table"/>
        <s v="Mouse"/>
        <s v="Laptop"/>
        <s v="Keyboard"/>
        <s v="Smart Watch"/>
        <s v="Chair"/>
      </sharedItems>
    </cacheField>
    <cacheField name="Category" numFmtId="0">
      <sharedItems count="2">
        <s v="Electronics"/>
        <s v="Furniture"/>
      </sharedItems>
    </cacheField>
    <cacheField name="Quantity" numFmtId="0">
      <sharedItems containsSemiMixedTypes="0" containsString="0" containsNumber="1" containsInteger="1" minValue="1" maxValue="10"/>
    </cacheField>
    <cacheField name="Unit_Price" numFmtId="164">
      <sharedItems containsSemiMixedTypes="0" containsString="0" containsNumber="1" containsInteger="1" minValue="500" maxValue="50000"/>
    </cacheField>
    <cacheField name="Discount" numFmtId="0">
      <sharedItems containsSemiMixedTypes="0" containsString="0" containsNumber="1" containsInteger="1" minValue="0" maxValue="20"/>
    </cacheField>
    <cacheField name="Discount2" numFmtId="9">
      <sharedItems containsSemiMixedTypes="0" containsString="0" containsNumber="1" minValue="0" maxValue="0.2"/>
    </cacheField>
    <cacheField name="Sales" numFmtId="164">
      <sharedItems containsSemiMixedTypes="0" containsString="0" containsNumber="1" containsInteger="1" minValue="415" maxValue="450000"/>
    </cacheField>
    <cacheField name="City" numFmtId="0">
      <sharedItems count="8">
        <s v="Warangal"/>
        <s v="Guntur"/>
        <s v="Nizamabad"/>
        <s v="Karimnagar"/>
        <s v="Tirupati"/>
        <s v="Hyderabad"/>
        <s v="Visakhapatnam"/>
        <s v="Vijayawada"/>
      </sharedItems>
    </cacheField>
    <cacheField name="Payment_Mode" numFmtId="0">
      <sharedItems count="5">
        <s v="Net Banking"/>
        <s v="Debit Card"/>
        <s v="Cash"/>
        <s v="Credit Card"/>
        <s v="UPI"/>
      </sharedItems>
    </cacheField>
    <cacheField name="Salesperson" numFmtId="0">
      <sharedItems count="8">
        <s v="Akhil"/>
        <s v="Sneha"/>
        <s v="Rahul"/>
        <s v="Kiran"/>
        <s v="Priya"/>
        <s v="Anil"/>
        <s v="Ramesh"/>
        <s v="Divya"/>
      </sharedItems>
    </cacheField>
    <cacheField name="Region" numFmtId="0">
      <sharedItems count="4">
        <s v="North"/>
        <s v="East"/>
        <s v="West"/>
        <s v="South"/>
      </sharedItems>
    </cacheField>
    <cacheField name="Month" numFmtId="0">
      <sharedItems count="12">
        <s v="Dec"/>
        <s v="Oct"/>
        <s v="Aug"/>
        <s v="Jul"/>
        <s v="Sep"/>
        <s v="Feb"/>
        <s v="Nov"/>
        <s v="May"/>
        <s v="Jan"/>
        <s v="Jun"/>
        <s v="Apr"/>
        <s v="Mar"/>
      </sharedItems>
    </cacheField>
    <cacheField name="Year" numFmtId="0">
      <sharedItems containsSemiMixedTypes="0" containsString="0" containsNumber="1" containsInteger="1" minValue="2023" maxValue="2025" count="3">
        <n v="2023"/>
        <n v="2024"/>
        <n v="2025"/>
      </sharedItems>
    </cacheField>
    <cacheField name="Quarter" numFmtId="0">
      <sharedItems/>
    </cacheField>
  </cacheFields>
  <extLst>
    <ext xmlns:x14="http://schemas.microsoft.com/office/spreadsheetml/2009/9/main" uri="{725AE2AE-9491-48be-B2B4-4EB974FC3084}">
      <x14:pivotCacheDefinition pivotCacheId="408126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001"/>
    <s v="2023-12-08"/>
    <s v="C2978"/>
    <x v="0"/>
    <x v="0"/>
    <n v="8"/>
    <n v="2000"/>
    <n v="12"/>
    <n v="0.12"/>
    <n v="14080"/>
    <x v="0"/>
    <x v="0"/>
    <x v="0"/>
    <x v="0"/>
    <x v="0"/>
    <x v="0"/>
    <s v="Q4"/>
  </r>
  <r>
    <n v="10002"/>
    <s v="2023-10-24"/>
    <s v="C3366"/>
    <x v="1"/>
    <x v="1"/>
    <n v="4"/>
    <n v="15000"/>
    <n v="4"/>
    <n v="0.04"/>
    <n v="57600"/>
    <x v="1"/>
    <x v="0"/>
    <x v="1"/>
    <x v="1"/>
    <x v="1"/>
    <x v="0"/>
    <s v="Q4"/>
  </r>
  <r>
    <n v="10003"/>
    <s v="2023-08-23"/>
    <s v="C8634"/>
    <x v="1"/>
    <x v="1"/>
    <n v="1"/>
    <n v="15000"/>
    <n v="17"/>
    <n v="0.17"/>
    <n v="12450"/>
    <x v="2"/>
    <x v="0"/>
    <x v="0"/>
    <x v="2"/>
    <x v="2"/>
    <x v="0"/>
    <s v="Q3"/>
  </r>
  <r>
    <n v="10004"/>
    <s v="2023-12-02"/>
    <s v="C3512"/>
    <x v="0"/>
    <x v="0"/>
    <n v="8"/>
    <n v="2000"/>
    <n v="19"/>
    <n v="0.19"/>
    <n v="12960"/>
    <x v="2"/>
    <x v="1"/>
    <x v="2"/>
    <x v="1"/>
    <x v="0"/>
    <x v="0"/>
    <s v="Q4"/>
  </r>
  <r>
    <n v="10005"/>
    <s v="2023-12-27"/>
    <s v="C4398"/>
    <x v="2"/>
    <x v="0"/>
    <n v="7"/>
    <n v="25000"/>
    <n v="0"/>
    <n v="0"/>
    <n v="175000"/>
    <x v="3"/>
    <x v="0"/>
    <x v="3"/>
    <x v="3"/>
    <x v="0"/>
    <x v="0"/>
    <s v="Q4"/>
  </r>
  <r>
    <n v="10006"/>
    <s v="2023-07-01"/>
    <s v="C8925"/>
    <x v="3"/>
    <x v="0"/>
    <n v="10"/>
    <n v="8000"/>
    <n v="8"/>
    <n v="0.08"/>
    <n v="73600"/>
    <x v="4"/>
    <x v="2"/>
    <x v="4"/>
    <x v="1"/>
    <x v="3"/>
    <x v="0"/>
    <s v="Q3"/>
  </r>
  <r>
    <n v="10007"/>
    <s v="2023-12-03"/>
    <s v="C6796"/>
    <x v="1"/>
    <x v="1"/>
    <n v="5"/>
    <n v="15000"/>
    <n v="7"/>
    <n v="7.0000000000000007E-2"/>
    <n v="69750"/>
    <x v="4"/>
    <x v="3"/>
    <x v="5"/>
    <x v="3"/>
    <x v="0"/>
    <x v="0"/>
    <s v="Q4"/>
  </r>
  <r>
    <n v="10008"/>
    <s v="2023-10-09"/>
    <s v="C3071"/>
    <x v="4"/>
    <x v="1"/>
    <n v="7"/>
    <n v="7000"/>
    <n v="13"/>
    <n v="0.13"/>
    <n v="42630"/>
    <x v="0"/>
    <x v="2"/>
    <x v="6"/>
    <x v="2"/>
    <x v="1"/>
    <x v="0"/>
    <s v="Q4"/>
  </r>
  <r>
    <n v="10009"/>
    <s v="2023-09-18"/>
    <s v="C1799"/>
    <x v="4"/>
    <x v="1"/>
    <n v="7"/>
    <n v="7000"/>
    <n v="10"/>
    <n v="0.1"/>
    <n v="44100"/>
    <x v="4"/>
    <x v="0"/>
    <x v="6"/>
    <x v="2"/>
    <x v="4"/>
    <x v="0"/>
    <s v="Q3"/>
  </r>
  <r>
    <n v="10010"/>
    <s v="2023-07-15"/>
    <s v="C3461"/>
    <x v="4"/>
    <x v="1"/>
    <n v="2"/>
    <n v="7000"/>
    <n v="20"/>
    <n v="0.2"/>
    <n v="11200"/>
    <x v="3"/>
    <x v="3"/>
    <x v="2"/>
    <x v="2"/>
    <x v="3"/>
    <x v="0"/>
    <s v="Q3"/>
  </r>
  <r>
    <n v="10011"/>
    <s v="2023-02-06"/>
    <s v="C3704"/>
    <x v="5"/>
    <x v="0"/>
    <n v="3"/>
    <n v="500"/>
    <n v="6"/>
    <n v="0.06"/>
    <n v="1410"/>
    <x v="1"/>
    <x v="0"/>
    <x v="0"/>
    <x v="0"/>
    <x v="5"/>
    <x v="0"/>
    <s v="Q1"/>
  </r>
  <r>
    <n v="10012"/>
    <s v="2023-11-03"/>
    <s v="C4902"/>
    <x v="5"/>
    <x v="0"/>
    <n v="3"/>
    <n v="500"/>
    <n v="8"/>
    <n v="0.08"/>
    <n v="1380"/>
    <x v="3"/>
    <x v="2"/>
    <x v="6"/>
    <x v="3"/>
    <x v="6"/>
    <x v="0"/>
    <s v="Q4"/>
  </r>
  <r>
    <n v="10013"/>
    <s v="2023-12-08"/>
    <s v="C2123"/>
    <x v="2"/>
    <x v="0"/>
    <n v="8"/>
    <n v="25000"/>
    <n v="2"/>
    <n v="0.02"/>
    <n v="196000"/>
    <x v="1"/>
    <x v="2"/>
    <x v="4"/>
    <x v="2"/>
    <x v="0"/>
    <x v="0"/>
    <s v="Q4"/>
  </r>
  <r>
    <n v="10014"/>
    <s v="2023-02-28"/>
    <s v="C3095"/>
    <x v="2"/>
    <x v="0"/>
    <n v="1"/>
    <n v="25000"/>
    <n v="4"/>
    <n v="0.04"/>
    <n v="24000"/>
    <x v="2"/>
    <x v="3"/>
    <x v="3"/>
    <x v="0"/>
    <x v="5"/>
    <x v="0"/>
    <s v="Q1"/>
  </r>
  <r>
    <n v="10015"/>
    <s v="2023-02-02"/>
    <s v="C3536"/>
    <x v="6"/>
    <x v="0"/>
    <n v="9"/>
    <n v="50000"/>
    <n v="7"/>
    <n v="7.0000000000000007E-2"/>
    <n v="418500"/>
    <x v="1"/>
    <x v="1"/>
    <x v="4"/>
    <x v="1"/>
    <x v="5"/>
    <x v="0"/>
    <s v="Q1"/>
  </r>
  <r>
    <n v="10016"/>
    <s v="2023-09-03"/>
    <s v="C3511"/>
    <x v="7"/>
    <x v="0"/>
    <n v="7"/>
    <n v="1200"/>
    <n v="7"/>
    <n v="7.0000000000000007E-2"/>
    <n v="7812"/>
    <x v="2"/>
    <x v="1"/>
    <x v="2"/>
    <x v="3"/>
    <x v="4"/>
    <x v="0"/>
    <s v="Q3"/>
  </r>
  <r>
    <n v="10017"/>
    <s v="2023-11-14"/>
    <s v="C2554"/>
    <x v="8"/>
    <x v="0"/>
    <n v="4"/>
    <n v="5000"/>
    <n v="10"/>
    <n v="0.1"/>
    <n v="18000"/>
    <x v="2"/>
    <x v="3"/>
    <x v="6"/>
    <x v="1"/>
    <x v="6"/>
    <x v="0"/>
    <s v="Q4"/>
  </r>
  <r>
    <n v="10018"/>
    <s v="2023-11-24"/>
    <s v="C2555"/>
    <x v="7"/>
    <x v="0"/>
    <n v="3"/>
    <n v="1200"/>
    <n v="17"/>
    <n v="0.17"/>
    <n v="2988"/>
    <x v="5"/>
    <x v="3"/>
    <x v="0"/>
    <x v="3"/>
    <x v="6"/>
    <x v="0"/>
    <s v="Q4"/>
  </r>
  <r>
    <n v="10019"/>
    <s v="2023-05-08"/>
    <s v="C5662"/>
    <x v="2"/>
    <x v="0"/>
    <n v="1"/>
    <n v="25000"/>
    <n v="19"/>
    <n v="0.19"/>
    <n v="20250"/>
    <x v="0"/>
    <x v="3"/>
    <x v="1"/>
    <x v="3"/>
    <x v="7"/>
    <x v="0"/>
    <s v="Q2"/>
  </r>
  <r>
    <n v="10020"/>
    <s v="2023-12-08"/>
    <s v="C2682"/>
    <x v="0"/>
    <x v="0"/>
    <n v="9"/>
    <n v="2000"/>
    <n v="3"/>
    <n v="0.03"/>
    <n v="17460"/>
    <x v="4"/>
    <x v="4"/>
    <x v="1"/>
    <x v="1"/>
    <x v="0"/>
    <x v="0"/>
    <s v="Q4"/>
  </r>
  <r>
    <n v="10021"/>
    <s v="2023-07-25"/>
    <s v="C5114"/>
    <x v="6"/>
    <x v="0"/>
    <n v="10"/>
    <n v="50000"/>
    <n v="10"/>
    <n v="0.1"/>
    <n v="450000"/>
    <x v="2"/>
    <x v="2"/>
    <x v="5"/>
    <x v="0"/>
    <x v="3"/>
    <x v="0"/>
    <s v="Q3"/>
  </r>
  <r>
    <n v="10022"/>
    <s v="2023-01-10"/>
    <s v="C1247"/>
    <x v="1"/>
    <x v="1"/>
    <n v="10"/>
    <n v="15000"/>
    <n v="20"/>
    <n v="0.2"/>
    <n v="120000"/>
    <x v="6"/>
    <x v="0"/>
    <x v="0"/>
    <x v="3"/>
    <x v="8"/>
    <x v="0"/>
    <s v="Q1"/>
  </r>
  <r>
    <n v="10023"/>
    <s v="2023-10-24"/>
    <s v="C9210"/>
    <x v="3"/>
    <x v="0"/>
    <n v="9"/>
    <n v="8000"/>
    <n v="17"/>
    <n v="0.17"/>
    <n v="59760"/>
    <x v="6"/>
    <x v="3"/>
    <x v="2"/>
    <x v="1"/>
    <x v="1"/>
    <x v="0"/>
    <s v="Q4"/>
  </r>
  <r>
    <n v="10024"/>
    <s v="2023-06-09"/>
    <s v="C5558"/>
    <x v="7"/>
    <x v="0"/>
    <n v="9"/>
    <n v="1200"/>
    <n v="18"/>
    <n v="0.18"/>
    <n v="8856"/>
    <x v="0"/>
    <x v="3"/>
    <x v="2"/>
    <x v="1"/>
    <x v="9"/>
    <x v="0"/>
    <s v="Q2"/>
  </r>
  <r>
    <n v="10025"/>
    <s v="2023-05-09"/>
    <s v="C8155"/>
    <x v="5"/>
    <x v="0"/>
    <n v="8"/>
    <n v="500"/>
    <n v="9"/>
    <n v="0.09"/>
    <n v="3640"/>
    <x v="7"/>
    <x v="0"/>
    <x v="5"/>
    <x v="3"/>
    <x v="7"/>
    <x v="0"/>
    <s v="Q2"/>
  </r>
  <r>
    <n v="10026"/>
    <s v="2023-12-01"/>
    <s v="C3949"/>
    <x v="9"/>
    <x v="1"/>
    <n v="3"/>
    <n v="3000"/>
    <n v="14"/>
    <n v="0.14000000000000001"/>
    <n v="7740"/>
    <x v="6"/>
    <x v="0"/>
    <x v="1"/>
    <x v="1"/>
    <x v="0"/>
    <x v="0"/>
    <s v="Q4"/>
  </r>
  <r>
    <n v="10027"/>
    <s v="2023-08-16"/>
    <s v="C1108"/>
    <x v="6"/>
    <x v="0"/>
    <n v="7"/>
    <n v="50000"/>
    <n v="7"/>
    <n v="7.0000000000000007E-2"/>
    <n v="325500"/>
    <x v="0"/>
    <x v="2"/>
    <x v="6"/>
    <x v="0"/>
    <x v="2"/>
    <x v="0"/>
    <s v="Q3"/>
  </r>
  <r>
    <n v="10028"/>
    <s v="2023-06-22"/>
    <s v="C8886"/>
    <x v="6"/>
    <x v="0"/>
    <n v="8"/>
    <n v="50000"/>
    <n v="12"/>
    <n v="0.12"/>
    <n v="352000"/>
    <x v="7"/>
    <x v="1"/>
    <x v="2"/>
    <x v="0"/>
    <x v="9"/>
    <x v="0"/>
    <s v="Q2"/>
  </r>
  <r>
    <n v="10029"/>
    <s v="2023-08-02"/>
    <s v="C9762"/>
    <x v="7"/>
    <x v="0"/>
    <n v="2"/>
    <n v="1200"/>
    <n v="18"/>
    <n v="0.18"/>
    <n v="1968"/>
    <x v="6"/>
    <x v="2"/>
    <x v="1"/>
    <x v="0"/>
    <x v="2"/>
    <x v="0"/>
    <s v="Q3"/>
  </r>
  <r>
    <n v="10030"/>
    <s v="2023-12-28"/>
    <s v="C3168"/>
    <x v="9"/>
    <x v="1"/>
    <n v="5"/>
    <n v="3000"/>
    <n v="0"/>
    <n v="0"/>
    <n v="15000"/>
    <x v="7"/>
    <x v="4"/>
    <x v="0"/>
    <x v="2"/>
    <x v="0"/>
    <x v="0"/>
    <s v="Q4"/>
  </r>
  <r>
    <n v="10031"/>
    <s v="2023-10-22"/>
    <s v="C5538"/>
    <x v="6"/>
    <x v="0"/>
    <n v="7"/>
    <n v="50000"/>
    <n v="16"/>
    <n v="0.16"/>
    <n v="294000"/>
    <x v="0"/>
    <x v="0"/>
    <x v="0"/>
    <x v="0"/>
    <x v="1"/>
    <x v="0"/>
    <s v="Q4"/>
  </r>
  <r>
    <n v="10032"/>
    <s v="2023-10-19"/>
    <s v="C8998"/>
    <x v="6"/>
    <x v="0"/>
    <n v="3"/>
    <n v="50000"/>
    <n v="19"/>
    <n v="0.19"/>
    <n v="121500"/>
    <x v="2"/>
    <x v="3"/>
    <x v="4"/>
    <x v="1"/>
    <x v="1"/>
    <x v="0"/>
    <s v="Q4"/>
  </r>
  <r>
    <n v="10033"/>
    <s v="2023-06-16"/>
    <s v="C3946"/>
    <x v="8"/>
    <x v="0"/>
    <n v="8"/>
    <n v="5000"/>
    <n v="13"/>
    <n v="0.13"/>
    <n v="34800"/>
    <x v="1"/>
    <x v="0"/>
    <x v="4"/>
    <x v="3"/>
    <x v="9"/>
    <x v="0"/>
    <s v="Q2"/>
  </r>
  <r>
    <n v="10034"/>
    <s v="2023-04-15"/>
    <s v="C3456"/>
    <x v="5"/>
    <x v="0"/>
    <n v="3"/>
    <n v="500"/>
    <n v="19"/>
    <n v="0.19"/>
    <n v="1215"/>
    <x v="4"/>
    <x v="4"/>
    <x v="4"/>
    <x v="0"/>
    <x v="10"/>
    <x v="0"/>
    <s v="Q2"/>
  </r>
  <r>
    <n v="10035"/>
    <s v="2023-03-28"/>
    <s v="C1502"/>
    <x v="7"/>
    <x v="0"/>
    <n v="5"/>
    <n v="1200"/>
    <n v="12"/>
    <n v="0.12"/>
    <n v="5280"/>
    <x v="7"/>
    <x v="2"/>
    <x v="3"/>
    <x v="2"/>
    <x v="11"/>
    <x v="0"/>
    <s v="Q1"/>
  </r>
  <r>
    <n v="10036"/>
    <s v="2023-10-28"/>
    <s v="C9355"/>
    <x v="7"/>
    <x v="0"/>
    <n v="10"/>
    <n v="1200"/>
    <n v="1"/>
    <n v="0.01"/>
    <n v="11880"/>
    <x v="1"/>
    <x v="0"/>
    <x v="1"/>
    <x v="2"/>
    <x v="1"/>
    <x v="0"/>
    <s v="Q4"/>
  </r>
  <r>
    <n v="10037"/>
    <s v="2023-08-27"/>
    <s v="C2161"/>
    <x v="6"/>
    <x v="0"/>
    <n v="7"/>
    <n v="50000"/>
    <n v="13"/>
    <n v="0.13"/>
    <n v="304500"/>
    <x v="7"/>
    <x v="1"/>
    <x v="3"/>
    <x v="1"/>
    <x v="2"/>
    <x v="0"/>
    <s v="Q3"/>
  </r>
  <r>
    <n v="10038"/>
    <s v="2023-06-23"/>
    <s v="C2433"/>
    <x v="6"/>
    <x v="0"/>
    <n v="9"/>
    <n v="50000"/>
    <n v="5"/>
    <n v="0.05"/>
    <n v="427500"/>
    <x v="5"/>
    <x v="4"/>
    <x v="7"/>
    <x v="1"/>
    <x v="9"/>
    <x v="0"/>
    <s v="Q2"/>
  </r>
  <r>
    <n v="10039"/>
    <s v="2023-07-24"/>
    <s v="C4109"/>
    <x v="2"/>
    <x v="0"/>
    <n v="3"/>
    <n v="25000"/>
    <n v="18"/>
    <n v="0.18"/>
    <n v="61500"/>
    <x v="3"/>
    <x v="2"/>
    <x v="0"/>
    <x v="2"/>
    <x v="3"/>
    <x v="0"/>
    <s v="Q3"/>
  </r>
  <r>
    <n v="10040"/>
    <s v="2023-06-20"/>
    <s v="C4125"/>
    <x v="6"/>
    <x v="0"/>
    <n v="1"/>
    <n v="50000"/>
    <n v="8"/>
    <n v="0.08"/>
    <n v="46000"/>
    <x v="2"/>
    <x v="3"/>
    <x v="2"/>
    <x v="2"/>
    <x v="9"/>
    <x v="0"/>
    <s v="Q2"/>
  </r>
  <r>
    <n v="10041"/>
    <s v="2023-07-09"/>
    <s v="C8813"/>
    <x v="8"/>
    <x v="0"/>
    <n v="4"/>
    <n v="5000"/>
    <n v="11"/>
    <n v="0.11"/>
    <n v="17800"/>
    <x v="0"/>
    <x v="0"/>
    <x v="0"/>
    <x v="0"/>
    <x v="3"/>
    <x v="0"/>
    <s v="Q3"/>
  </r>
  <r>
    <n v="10042"/>
    <s v="2023-09-25"/>
    <s v="C3823"/>
    <x v="2"/>
    <x v="0"/>
    <n v="9"/>
    <n v="25000"/>
    <n v="8"/>
    <n v="0.08"/>
    <n v="207000"/>
    <x v="0"/>
    <x v="2"/>
    <x v="0"/>
    <x v="2"/>
    <x v="4"/>
    <x v="0"/>
    <s v="Q3"/>
  </r>
  <r>
    <n v="10043"/>
    <s v="2023-09-16"/>
    <s v="C7481"/>
    <x v="8"/>
    <x v="0"/>
    <n v="1"/>
    <n v="5000"/>
    <n v="12"/>
    <n v="0.12"/>
    <n v="4400"/>
    <x v="6"/>
    <x v="2"/>
    <x v="7"/>
    <x v="2"/>
    <x v="4"/>
    <x v="0"/>
    <s v="Q3"/>
  </r>
  <r>
    <n v="10044"/>
    <s v="2023-05-07"/>
    <s v="C2972"/>
    <x v="2"/>
    <x v="0"/>
    <n v="10"/>
    <n v="25000"/>
    <n v="11"/>
    <n v="0.11"/>
    <n v="222500"/>
    <x v="1"/>
    <x v="4"/>
    <x v="4"/>
    <x v="1"/>
    <x v="7"/>
    <x v="0"/>
    <s v="Q2"/>
  </r>
  <r>
    <n v="10045"/>
    <s v="2023-12-16"/>
    <s v="C1579"/>
    <x v="0"/>
    <x v="0"/>
    <n v="5"/>
    <n v="2000"/>
    <n v="11"/>
    <n v="0.11"/>
    <n v="8900"/>
    <x v="3"/>
    <x v="1"/>
    <x v="5"/>
    <x v="0"/>
    <x v="0"/>
    <x v="0"/>
    <s v="Q4"/>
  </r>
  <r>
    <n v="10046"/>
    <s v="2023-03-06"/>
    <s v="C4110"/>
    <x v="8"/>
    <x v="0"/>
    <n v="10"/>
    <n v="5000"/>
    <n v="16"/>
    <n v="0.16"/>
    <n v="42000"/>
    <x v="2"/>
    <x v="2"/>
    <x v="0"/>
    <x v="0"/>
    <x v="11"/>
    <x v="0"/>
    <s v="Q1"/>
  </r>
  <r>
    <n v="10047"/>
    <s v="2023-06-18"/>
    <s v="C7244"/>
    <x v="5"/>
    <x v="0"/>
    <n v="3"/>
    <n v="500"/>
    <n v="9"/>
    <n v="0.09"/>
    <n v="1365"/>
    <x v="0"/>
    <x v="3"/>
    <x v="0"/>
    <x v="1"/>
    <x v="9"/>
    <x v="0"/>
    <s v="Q2"/>
  </r>
  <r>
    <n v="10048"/>
    <s v="2023-07-07"/>
    <s v="C4840"/>
    <x v="4"/>
    <x v="1"/>
    <n v="1"/>
    <n v="7000"/>
    <n v="9"/>
    <n v="0.09"/>
    <n v="6370"/>
    <x v="6"/>
    <x v="1"/>
    <x v="5"/>
    <x v="0"/>
    <x v="3"/>
    <x v="0"/>
    <s v="Q3"/>
  </r>
  <r>
    <n v="10049"/>
    <s v="2023-07-25"/>
    <s v="C3454"/>
    <x v="6"/>
    <x v="0"/>
    <n v="8"/>
    <n v="50000"/>
    <n v="18"/>
    <n v="0.18"/>
    <n v="328000"/>
    <x v="7"/>
    <x v="1"/>
    <x v="0"/>
    <x v="2"/>
    <x v="3"/>
    <x v="0"/>
    <s v="Q3"/>
  </r>
  <r>
    <n v="10050"/>
    <s v="2023-10-31"/>
    <s v="C1017"/>
    <x v="1"/>
    <x v="1"/>
    <n v="8"/>
    <n v="15000"/>
    <n v="7"/>
    <n v="7.0000000000000007E-2"/>
    <n v="111600"/>
    <x v="4"/>
    <x v="4"/>
    <x v="4"/>
    <x v="3"/>
    <x v="1"/>
    <x v="0"/>
    <s v="Q4"/>
  </r>
  <r>
    <n v="10051"/>
    <s v="2023-11-24"/>
    <s v="C6240"/>
    <x v="7"/>
    <x v="0"/>
    <n v="4"/>
    <n v="1200"/>
    <n v="6"/>
    <n v="0.06"/>
    <n v="4512"/>
    <x v="6"/>
    <x v="3"/>
    <x v="4"/>
    <x v="2"/>
    <x v="6"/>
    <x v="0"/>
    <s v="Q4"/>
  </r>
  <r>
    <n v="10052"/>
    <s v="2023-06-22"/>
    <s v="C1460"/>
    <x v="1"/>
    <x v="1"/>
    <n v="5"/>
    <n v="15000"/>
    <n v="6"/>
    <n v="0.06"/>
    <n v="70500"/>
    <x v="7"/>
    <x v="1"/>
    <x v="5"/>
    <x v="3"/>
    <x v="9"/>
    <x v="0"/>
    <s v="Q2"/>
  </r>
  <r>
    <n v="10053"/>
    <s v="2023-07-11"/>
    <s v="C5320"/>
    <x v="3"/>
    <x v="0"/>
    <n v="2"/>
    <n v="8000"/>
    <n v="15"/>
    <n v="0.15"/>
    <n v="13600"/>
    <x v="5"/>
    <x v="3"/>
    <x v="0"/>
    <x v="3"/>
    <x v="3"/>
    <x v="0"/>
    <s v="Q3"/>
  </r>
  <r>
    <n v="10054"/>
    <s v="2023-02-22"/>
    <s v="C5206"/>
    <x v="5"/>
    <x v="0"/>
    <n v="2"/>
    <n v="500"/>
    <n v="14"/>
    <n v="0.14000000000000001"/>
    <n v="860"/>
    <x v="6"/>
    <x v="4"/>
    <x v="4"/>
    <x v="3"/>
    <x v="5"/>
    <x v="0"/>
    <s v="Q1"/>
  </r>
  <r>
    <n v="10055"/>
    <s v="2023-01-09"/>
    <s v="C6861"/>
    <x v="5"/>
    <x v="0"/>
    <n v="1"/>
    <n v="500"/>
    <n v="17"/>
    <n v="0.17"/>
    <n v="415"/>
    <x v="4"/>
    <x v="1"/>
    <x v="1"/>
    <x v="2"/>
    <x v="8"/>
    <x v="0"/>
    <s v="Q1"/>
  </r>
  <r>
    <n v="10056"/>
    <s v="2023-07-11"/>
    <s v="C2043"/>
    <x v="7"/>
    <x v="0"/>
    <n v="6"/>
    <n v="1200"/>
    <n v="19"/>
    <n v="0.19"/>
    <n v="5832"/>
    <x v="4"/>
    <x v="0"/>
    <x v="7"/>
    <x v="0"/>
    <x v="3"/>
    <x v="0"/>
    <s v="Q3"/>
  </r>
  <r>
    <n v="10057"/>
    <s v="2023-02-19"/>
    <s v="C7825"/>
    <x v="3"/>
    <x v="0"/>
    <n v="3"/>
    <n v="8000"/>
    <n v="4"/>
    <n v="0.04"/>
    <n v="23040"/>
    <x v="4"/>
    <x v="4"/>
    <x v="4"/>
    <x v="0"/>
    <x v="5"/>
    <x v="0"/>
    <s v="Q1"/>
  </r>
  <r>
    <n v="10058"/>
    <s v="2023-10-09"/>
    <s v="C7665"/>
    <x v="6"/>
    <x v="0"/>
    <n v="7"/>
    <n v="50000"/>
    <n v="5"/>
    <n v="0.05"/>
    <n v="332500"/>
    <x v="6"/>
    <x v="4"/>
    <x v="2"/>
    <x v="3"/>
    <x v="1"/>
    <x v="0"/>
    <s v="Q4"/>
  </r>
  <r>
    <n v="10059"/>
    <s v="2023-07-23"/>
    <s v="C6299"/>
    <x v="9"/>
    <x v="1"/>
    <n v="2"/>
    <n v="3000"/>
    <n v="7"/>
    <n v="7.0000000000000007E-2"/>
    <n v="5580"/>
    <x v="4"/>
    <x v="2"/>
    <x v="3"/>
    <x v="3"/>
    <x v="3"/>
    <x v="0"/>
    <s v="Q3"/>
  </r>
  <r>
    <n v="10060"/>
    <s v="2023-04-29"/>
    <s v="C5375"/>
    <x v="0"/>
    <x v="0"/>
    <n v="7"/>
    <n v="2000"/>
    <n v="12"/>
    <n v="0.12"/>
    <n v="12320"/>
    <x v="0"/>
    <x v="3"/>
    <x v="4"/>
    <x v="0"/>
    <x v="10"/>
    <x v="0"/>
    <s v="Q2"/>
  </r>
  <r>
    <n v="10061"/>
    <s v="2023-10-20"/>
    <s v="C3699"/>
    <x v="9"/>
    <x v="1"/>
    <n v="7"/>
    <n v="3000"/>
    <n v="0"/>
    <n v="0"/>
    <n v="21000"/>
    <x v="2"/>
    <x v="1"/>
    <x v="4"/>
    <x v="3"/>
    <x v="1"/>
    <x v="0"/>
    <s v="Q4"/>
  </r>
  <r>
    <n v="10062"/>
    <s v="2023-03-15"/>
    <s v="C1893"/>
    <x v="4"/>
    <x v="1"/>
    <n v="5"/>
    <n v="7000"/>
    <n v="1"/>
    <n v="0.01"/>
    <n v="34650"/>
    <x v="3"/>
    <x v="0"/>
    <x v="2"/>
    <x v="1"/>
    <x v="11"/>
    <x v="0"/>
    <s v="Q1"/>
  </r>
  <r>
    <n v="10063"/>
    <s v="2023-11-15"/>
    <s v="C9469"/>
    <x v="4"/>
    <x v="1"/>
    <n v="4"/>
    <n v="7000"/>
    <n v="6"/>
    <n v="0.06"/>
    <n v="26320"/>
    <x v="7"/>
    <x v="3"/>
    <x v="2"/>
    <x v="0"/>
    <x v="6"/>
    <x v="0"/>
    <s v="Q4"/>
  </r>
  <r>
    <n v="10064"/>
    <s v="2023-03-29"/>
    <s v="C9258"/>
    <x v="6"/>
    <x v="0"/>
    <n v="1"/>
    <n v="50000"/>
    <n v="2"/>
    <n v="0.02"/>
    <n v="49000"/>
    <x v="5"/>
    <x v="3"/>
    <x v="3"/>
    <x v="0"/>
    <x v="11"/>
    <x v="0"/>
    <s v="Q1"/>
  </r>
  <r>
    <n v="10065"/>
    <s v="2023-02-07"/>
    <s v="C9199"/>
    <x v="5"/>
    <x v="0"/>
    <n v="10"/>
    <n v="500"/>
    <n v="20"/>
    <n v="0.2"/>
    <n v="4000"/>
    <x v="5"/>
    <x v="2"/>
    <x v="2"/>
    <x v="3"/>
    <x v="5"/>
    <x v="0"/>
    <s v="Q1"/>
  </r>
  <r>
    <n v="10066"/>
    <s v="2023-11-26"/>
    <s v="C3516"/>
    <x v="2"/>
    <x v="0"/>
    <n v="10"/>
    <n v="25000"/>
    <n v="6"/>
    <n v="0.06"/>
    <n v="235000"/>
    <x v="0"/>
    <x v="3"/>
    <x v="3"/>
    <x v="3"/>
    <x v="6"/>
    <x v="0"/>
    <s v="Q4"/>
  </r>
  <r>
    <n v="10067"/>
    <s v="2023-10-27"/>
    <s v="C6064"/>
    <x v="1"/>
    <x v="1"/>
    <n v="10"/>
    <n v="15000"/>
    <n v="5"/>
    <n v="0.05"/>
    <n v="142500"/>
    <x v="3"/>
    <x v="2"/>
    <x v="0"/>
    <x v="2"/>
    <x v="1"/>
    <x v="0"/>
    <s v="Q4"/>
  </r>
  <r>
    <n v="10068"/>
    <s v="2023-03-06"/>
    <s v="C4704"/>
    <x v="2"/>
    <x v="0"/>
    <n v="6"/>
    <n v="25000"/>
    <n v="1"/>
    <n v="0.01"/>
    <n v="148500"/>
    <x v="4"/>
    <x v="0"/>
    <x v="3"/>
    <x v="3"/>
    <x v="11"/>
    <x v="0"/>
    <s v="Q1"/>
  </r>
  <r>
    <n v="10069"/>
    <s v="2023-12-03"/>
    <s v="C5645"/>
    <x v="7"/>
    <x v="0"/>
    <n v="10"/>
    <n v="1200"/>
    <n v="9"/>
    <n v="0.09"/>
    <n v="10920"/>
    <x v="4"/>
    <x v="2"/>
    <x v="7"/>
    <x v="3"/>
    <x v="0"/>
    <x v="0"/>
    <s v="Q4"/>
  </r>
  <r>
    <n v="10070"/>
    <s v="2023-09-08"/>
    <s v="C8428"/>
    <x v="2"/>
    <x v="0"/>
    <n v="7"/>
    <n v="25000"/>
    <n v="8"/>
    <n v="0.08"/>
    <n v="161000"/>
    <x v="2"/>
    <x v="4"/>
    <x v="3"/>
    <x v="2"/>
    <x v="4"/>
    <x v="0"/>
    <s v="Q3"/>
  </r>
  <r>
    <n v="10071"/>
    <s v="2023-11-05"/>
    <s v="C3718"/>
    <x v="8"/>
    <x v="0"/>
    <n v="4"/>
    <n v="5000"/>
    <n v="14"/>
    <n v="0.14000000000000001"/>
    <n v="17200"/>
    <x v="4"/>
    <x v="4"/>
    <x v="0"/>
    <x v="3"/>
    <x v="6"/>
    <x v="0"/>
    <s v="Q4"/>
  </r>
  <r>
    <n v="10072"/>
    <s v="2023-02-18"/>
    <s v="C2545"/>
    <x v="5"/>
    <x v="0"/>
    <n v="4"/>
    <n v="500"/>
    <n v="0"/>
    <n v="0"/>
    <n v="2000"/>
    <x v="4"/>
    <x v="3"/>
    <x v="4"/>
    <x v="3"/>
    <x v="5"/>
    <x v="0"/>
    <s v="Q1"/>
  </r>
  <r>
    <n v="10073"/>
    <s v="2023-01-01"/>
    <s v="C8765"/>
    <x v="4"/>
    <x v="1"/>
    <n v="1"/>
    <n v="7000"/>
    <n v="8"/>
    <n v="0.08"/>
    <n v="6440"/>
    <x v="4"/>
    <x v="4"/>
    <x v="1"/>
    <x v="0"/>
    <x v="8"/>
    <x v="0"/>
    <s v="Q1"/>
  </r>
  <r>
    <n v="10074"/>
    <s v="2023-04-04"/>
    <s v="C4197"/>
    <x v="0"/>
    <x v="0"/>
    <n v="10"/>
    <n v="2000"/>
    <n v="10"/>
    <n v="0.1"/>
    <n v="18000"/>
    <x v="3"/>
    <x v="0"/>
    <x v="1"/>
    <x v="2"/>
    <x v="10"/>
    <x v="0"/>
    <s v="Q2"/>
  </r>
  <r>
    <n v="10075"/>
    <s v="2023-09-19"/>
    <s v="C9480"/>
    <x v="6"/>
    <x v="0"/>
    <n v="3"/>
    <n v="50000"/>
    <n v="8"/>
    <n v="0.08"/>
    <n v="138000"/>
    <x v="2"/>
    <x v="4"/>
    <x v="3"/>
    <x v="1"/>
    <x v="4"/>
    <x v="0"/>
    <s v="Q3"/>
  </r>
  <r>
    <n v="10076"/>
    <s v="2023-07-06"/>
    <s v="C8575"/>
    <x v="2"/>
    <x v="0"/>
    <n v="3"/>
    <n v="25000"/>
    <n v="3"/>
    <n v="0.03"/>
    <n v="72750"/>
    <x v="0"/>
    <x v="1"/>
    <x v="3"/>
    <x v="3"/>
    <x v="3"/>
    <x v="0"/>
    <s v="Q3"/>
  </r>
  <r>
    <n v="10077"/>
    <s v="2023-12-08"/>
    <s v="C9831"/>
    <x v="4"/>
    <x v="1"/>
    <n v="8"/>
    <n v="7000"/>
    <n v="17"/>
    <n v="0.17"/>
    <n v="46480"/>
    <x v="0"/>
    <x v="0"/>
    <x v="2"/>
    <x v="1"/>
    <x v="0"/>
    <x v="0"/>
    <s v="Q4"/>
  </r>
  <r>
    <n v="10078"/>
    <s v="2023-12-15"/>
    <s v="C5528"/>
    <x v="4"/>
    <x v="1"/>
    <n v="2"/>
    <n v="7000"/>
    <n v="1"/>
    <n v="0.01"/>
    <n v="13860"/>
    <x v="2"/>
    <x v="0"/>
    <x v="1"/>
    <x v="2"/>
    <x v="0"/>
    <x v="0"/>
    <s v="Q4"/>
  </r>
  <r>
    <n v="10079"/>
    <s v="2023-12-05"/>
    <s v="C1435"/>
    <x v="2"/>
    <x v="0"/>
    <n v="10"/>
    <n v="25000"/>
    <n v="12"/>
    <n v="0.12"/>
    <n v="220000"/>
    <x v="7"/>
    <x v="1"/>
    <x v="4"/>
    <x v="2"/>
    <x v="0"/>
    <x v="0"/>
    <s v="Q4"/>
  </r>
  <r>
    <n v="10080"/>
    <s v="2023-05-26"/>
    <s v="C9863"/>
    <x v="7"/>
    <x v="0"/>
    <n v="8"/>
    <n v="1200"/>
    <n v="16"/>
    <n v="0.16"/>
    <n v="8064"/>
    <x v="5"/>
    <x v="4"/>
    <x v="5"/>
    <x v="2"/>
    <x v="7"/>
    <x v="0"/>
    <s v="Q2"/>
  </r>
  <r>
    <n v="10081"/>
    <s v="2023-08-20"/>
    <s v="C7307"/>
    <x v="5"/>
    <x v="0"/>
    <n v="4"/>
    <n v="500"/>
    <n v="0"/>
    <n v="0"/>
    <n v="2000"/>
    <x v="5"/>
    <x v="2"/>
    <x v="7"/>
    <x v="3"/>
    <x v="2"/>
    <x v="0"/>
    <s v="Q3"/>
  </r>
  <r>
    <n v="10082"/>
    <s v="2023-09-29"/>
    <s v="C8267"/>
    <x v="7"/>
    <x v="0"/>
    <n v="6"/>
    <n v="1200"/>
    <n v="16"/>
    <n v="0.16"/>
    <n v="6048"/>
    <x v="7"/>
    <x v="0"/>
    <x v="1"/>
    <x v="0"/>
    <x v="4"/>
    <x v="0"/>
    <s v="Q3"/>
  </r>
  <r>
    <n v="10083"/>
    <s v="2023-06-17"/>
    <s v="C1975"/>
    <x v="6"/>
    <x v="0"/>
    <n v="1"/>
    <n v="50000"/>
    <n v="0"/>
    <n v="0"/>
    <n v="50000"/>
    <x v="3"/>
    <x v="0"/>
    <x v="6"/>
    <x v="3"/>
    <x v="9"/>
    <x v="0"/>
    <s v="Q2"/>
  </r>
  <r>
    <n v="10084"/>
    <s v="2023-07-11"/>
    <s v="C4074"/>
    <x v="1"/>
    <x v="1"/>
    <n v="9"/>
    <n v="15000"/>
    <n v="15"/>
    <n v="0.15"/>
    <n v="114750"/>
    <x v="3"/>
    <x v="4"/>
    <x v="3"/>
    <x v="2"/>
    <x v="3"/>
    <x v="0"/>
    <s v="Q3"/>
  </r>
  <r>
    <n v="10085"/>
    <s v="2023-07-02"/>
    <s v="C4425"/>
    <x v="3"/>
    <x v="0"/>
    <n v="1"/>
    <n v="8000"/>
    <n v="20"/>
    <n v="0.2"/>
    <n v="6400"/>
    <x v="3"/>
    <x v="4"/>
    <x v="7"/>
    <x v="1"/>
    <x v="3"/>
    <x v="0"/>
    <s v="Q3"/>
  </r>
  <r>
    <n v="10086"/>
    <s v="2023-10-16"/>
    <s v="C8262"/>
    <x v="3"/>
    <x v="0"/>
    <n v="10"/>
    <n v="8000"/>
    <n v="3"/>
    <n v="0.03"/>
    <n v="77600"/>
    <x v="0"/>
    <x v="0"/>
    <x v="4"/>
    <x v="0"/>
    <x v="1"/>
    <x v="0"/>
    <s v="Q4"/>
  </r>
  <r>
    <n v="10087"/>
    <s v="2023-06-22"/>
    <s v="C7031"/>
    <x v="7"/>
    <x v="0"/>
    <n v="7"/>
    <n v="1200"/>
    <n v="19"/>
    <n v="0.19"/>
    <n v="6804"/>
    <x v="7"/>
    <x v="0"/>
    <x v="6"/>
    <x v="3"/>
    <x v="9"/>
    <x v="0"/>
    <s v="Q2"/>
  </r>
  <r>
    <n v="10088"/>
    <s v="2023-08-26"/>
    <s v="C2409"/>
    <x v="2"/>
    <x v="0"/>
    <n v="10"/>
    <n v="25000"/>
    <n v="12"/>
    <n v="0.12"/>
    <n v="220000"/>
    <x v="7"/>
    <x v="0"/>
    <x v="1"/>
    <x v="1"/>
    <x v="2"/>
    <x v="0"/>
    <s v="Q3"/>
  </r>
  <r>
    <n v="10089"/>
    <s v="2023-05-21"/>
    <s v="C8456"/>
    <x v="4"/>
    <x v="1"/>
    <n v="9"/>
    <n v="7000"/>
    <n v="7"/>
    <n v="7.0000000000000007E-2"/>
    <n v="58590"/>
    <x v="4"/>
    <x v="2"/>
    <x v="1"/>
    <x v="1"/>
    <x v="7"/>
    <x v="0"/>
    <s v="Q2"/>
  </r>
  <r>
    <n v="10090"/>
    <s v="2023-01-18"/>
    <s v="C4124"/>
    <x v="2"/>
    <x v="0"/>
    <n v="4"/>
    <n v="25000"/>
    <n v="2"/>
    <n v="0.02"/>
    <n v="98000"/>
    <x v="5"/>
    <x v="4"/>
    <x v="3"/>
    <x v="3"/>
    <x v="8"/>
    <x v="0"/>
    <s v="Q1"/>
  </r>
  <r>
    <n v="10091"/>
    <s v="2023-08-08"/>
    <s v="C4277"/>
    <x v="4"/>
    <x v="1"/>
    <n v="1"/>
    <n v="7000"/>
    <n v="0"/>
    <n v="0"/>
    <n v="7000"/>
    <x v="5"/>
    <x v="1"/>
    <x v="3"/>
    <x v="1"/>
    <x v="2"/>
    <x v="0"/>
    <s v="Q3"/>
  </r>
  <r>
    <n v="10092"/>
    <s v="2023-04-08"/>
    <s v="C8264"/>
    <x v="3"/>
    <x v="0"/>
    <n v="3"/>
    <n v="8000"/>
    <n v="2"/>
    <n v="0.02"/>
    <n v="23520"/>
    <x v="2"/>
    <x v="4"/>
    <x v="0"/>
    <x v="1"/>
    <x v="10"/>
    <x v="0"/>
    <s v="Q2"/>
  </r>
  <r>
    <n v="10093"/>
    <s v="2023-06-29"/>
    <s v="C7742"/>
    <x v="1"/>
    <x v="1"/>
    <n v="10"/>
    <n v="15000"/>
    <n v="15"/>
    <n v="0.15"/>
    <n v="127500"/>
    <x v="2"/>
    <x v="4"/>
    <x v="1"/>
    <x v="2"/>
    <x v="9"/>
    <x v="0"/>
    <s v="Q2"/>
  </r>
  <r>
    <n v="10094"/>
    <s v="2023-08-25"/>
    <s v="C9708"/>
    <x v="5"/>
    <x v="0"/>
    <n v="5"/>
    <n v="500"/>
    <n v="20"/>
    <n v="0.2"/>
    <n v="2000"/>
    <x v="1"/>
    <x v="1"/>
    <x v="1"/>
    <x v="0"/>
    <x v="2"/>
    <x v="0"/>
    <s v="Q3"/>
  </r>
  <r>
    <n v="10095"/>
    <s v="2023-04-09"/>
    <s v="C8333"/>
    <x v="3"/>
    <x v="0"/>
    <n v="10"/>
    <n v="8000"/>
    <n v="20"/>
    <n v="0.2"/>
    <n v="64000"/>
    <x v="3"/>
    <x v="4"/>
    <x v="5"/>
    <x v="3"/>
    <x v="10"/>
    <x v="0"/>
    <s v="Q2"/>
  </r>
  <r>
    <n v="10096"/>
    <s v="2023-09-06"/>
    <s v="C1264"/>
    <x v="8"/>
    <x v="0"/>
    <n v="5"/>
    <n v="5000"/>
    <n v="8"/>
    <n v="0.08"/>
    <n v="23000"/>
    <x v="0"/>
    <x v="2"/>
    <x v="1"/>
    <x v="1"/>
    <x v="4"/>
    <x v="0"/>
    <s v="Q3"/>
  </r>
  <r>
    <n v="10097"/>
    <s v="2023-11-30"/>
    <s v="C4518"/>
    <x v="3"/>
    <x v="0"/>
    <n v="3"/>
    <n v="8000"/>
    <n v="19"/>
    <n v="0.19"/>
    <n v="19440"/>
    <x v="2"/>
    <x v="2"/>
    <x v="0"/>
    <x v="2"/>
    <x v="6"/>
    <x v="0"/>
    <s v="Q4"/>
  </r>
  <r>
    <n v="10098"/>
    <s v="2023-11-01"/>
    <s v="C7337"/>
    <x v="7"/>
    <x v="0"/>
    <n v="1"/>
    <n v="1200"/>
    <n v="1"/>
    <n v="0.01"/>
    <n v="1188"/>
    <x v="2"/>
    <x v="1"/>
    <x v="0"/>
    <x v="0"/>
    <x v="6"/>
    <x v="0"/>
    <s v="Q4"/>
  </r>
  <r>
    <n v="10099"/>
    <s v="2023-04-26"/>
    <s v="C4186"/>
    <x v="5"/>
    <x v="0"/>
    <n v="2"/>
    <n v="500"/>
    <n v="3"/>
    <n v="0.03"/>
    <n v="970"/>
    <x v="5"/>
    <x v="2"/>
    <x v="4"/>
    <x v="2"/>
    <x v="10"/>
    <x v="0"/>
    <s v="Q2"/>
  </r>
  <r>
    <n v="10100"/>
    <s v="2023-01-19"/>
    <s v="C1400"/>
    <x v="4"/>
    <x v="1"/>
    <n v="9"/>
    <n v="7000"/>
    <n v="18"/>
    <n v="0.18"/>
    <n v="51660"/>
    <x v="1"/>
    <x v="2"/>
    <x v="5"/>
    <x v="3"/>
    <x v="8"/>
    <x v="0"/>
    <s v="Q1"/>
  </r>
  <r>
    <n v="10101"/>
    <s v="2024-07-04"/>
    <s v="C4080"/>
    <x v="0"/>
    <x v="0"/>
    <n v="8"/>
    <n v="2000"/>
    <n v="13"/>
    <n v="0.13"/>
    <n v="13920"/>
    <x v="7"/>
    <x v="0"/>
    <x v="0"/>
    <x v="3"/>
    <x v="3"/>
    <x v="1"/>
    <s v="Q3"/>
  </r>
  <r>
    <n v="10102"/>
    <s v="2024-09-26"/>
    <s v="C6464"/>
    <x v="8"/>
    <x v="0"/>
    <n v="1"/>
    <n v="5000"/>
    <n v="11"/>
    <n v="0.11"/>
    <n v="4450"/>
    <x v="2"/>
    <x v="3"/>
    <x v="7"/>
    <x v="1"/>
    <x v="4"/>
    <x v="1"/>
    <s v="Q3"/>
  </r>
  <r>
    <n v="10103"/>
    <s v="2024-10-07"/>
    <s v="C1763"/>
    <x v="7"/>
    <x v="0"/>
    <n v="6"/>
    <n v="1200"/>
    <n v="10"/>
    <n v="0.1"/>
    <n v="6480"/>
    <x v="6"/>
    <x v="2"/>
    <x v="7"/>
    <x v="0"/>
    <x v="1"/>
    <x v="1"/>
    <s v="Q4"/>
  </r>
  <r>
    <n v="10104"/>
    <s v="2024-05-26"/>
    <s v="C5427"/>
    <x v="8"/>
    <x v="0"/>
    <n v="2"/>
    <n v="5000"/>
    <n v="19"/>
    <n v="0.19"/>
    <n v="8100"/>
    <x v="1"/>
    <x v="2"/>
    <x v="1"/>
    <x v="3"/>
    <x v="7"/>
    <x v="1"/>
    <s v="Q2"/>
  </r>
  <r>
    <n v="10105"/>
    <s v="2024-05-27"/>
    <s v="C4404"/>
    <x v="9"/>
    <x v="1"/>
    <n v="4"/>
    <n v="3000"/>
    <n v="13"/>
    <n v="0.13"/>
    <n v="10440"/>
    <x v="5"/>
    <x v="0"/>
    <x v="6"/>
    <x v="1"/>
    <x v="7"/>
    <x v="1"/>
    <s v="Q2"/>
  </r>
  <r>
    <n v="10106"/>
    <s v="2024-08-12"/>
    <s v="C7909"/>
    <x v="9"/>
    <x v="1"/>
    <n v="4"/>
    <n v="3000"/>
    <n v="15"/>
    <n v="0.15"/>
    <n v="10200"/>
    <x v="2"/>
    <x v="4"/>
    <x v="2"/>
    <x v="0"/>
    <x v="2"/>
    <x v="1"/>
    <s v="Q3"/>
  </r>
  <r>
    <n v="10107"/>
    <s v="2024-03-29"/>
    <s v="C7478"/>
    <x v="2"/>
    <x v="0"/>
    <n v="4"/>
    <n v="25000"/>
    <n v="7"/>
    <n v="7.0000000000000007E-2"/>
    <n v="93000"/>
    <x v="6"/>
    <x v="1"/>
    <x v="3"/>
    <x v="2"/>
    <x v="11"/>
    <x v="1"/>
    <s v="Q1"/>
  </r>
  <r>
    <n v="10108"/>
    <s v="2024-04-24"/>
    <s v="C1549"/>
    <x v="8"/>
    <x v="0"/>
    <n v="10"/>
    <n v="5000"/>
    <n v="11"/>
    <n v="0.11"/>
    <n v="44500"/>
    <x v="5"/>
    <x v="4"/>
    <x v="2"/>
    <x v="3"/>
    <x v="10"/>
    <x v="1"/>
    <s v="Q2"/>
  </r>
  <r>
    <n v="10109"/>
    <s v="2024-02-16"/>
    <s v="C5100"/>
    <x v="7"/>
    <x v="0"/>
    <n v="3"/>
    <n v="1200"/>
    <n v="8"/>
    <n v="0.08"/>
    <n v="3312"/>
    <x v="4"/>
    <x v="4"/>
    <x v="0"/>
    <x v="2"/>
    <x v="5"/>
    <x v="1"/>
    <s v="Q1"/>
  </r>
  <r>
    <n v="10110"/>
    <s v="2024-04-30"/>
    <s v="C7979"/>
    <x v="1"/>
    <x v="1"/>
    <n v="5"/>
    <n v="15000"/>
    <n v="17"/>
    <n v="0.17"/>
    <n v="62250"/>
    <x v="7"/>
    <x v="4"/>
    <x v="1"/>
    <x v="0"/>
    <x v="10"/>
    <x v="1"/>
    <s v="Q2"/>
  </r>
  <r>
    <n v="10111"/>
    <s v="2024-11-11"/>
    <s v="C9533"/>
    <x v="8"/>
    <x v="0"/>
    <n v="6"/>
    <n v="5000"/>
    <n v="13"/>
    <n v="0.13"/>
    <n v="26100"/>
    <x v="6"/>
    <x v="3"/>
    <x v="6"/>
    <x v="3"/>
    <x v="6"/>
    <x v="1"/>
    <s v="Q4"/>
  </r>
  <r>
    <n v="10112"/>
    <s v="2024-10-13"/>
    <s v="C1418"/>
    <x v="8"/>
    <x v="0"/>
    <n v="3"/>
    <n v="5000"/>
    <n v="2"/>
    <n v="0.02"/>
    <n v="14700"/>
    <x v="2"/>
    <x v="2"/>
    <x v="1"/>
    <x v="3"/>
    <x v="1"/>
    <x v="1"/>
    <s v="Q4"/>
  </r>
  <r>
    <n v="10113"/>
    <s v="2024-09-27"/>
    <s v="C6689"/>
    <x v="5"/>
    <x v="0"/>
    <n v="8"/>
    <n v="500"/>
    <n v="0"/>
    <n v="0"/>
    <n v="4000"/>
    <x v="7"/>
    <x v="0"/>
    <x v="5"/>
    <x v="1"/>
    <x v="4"/>
    <x v="1"/>
    <s v="Q3"/>
  </r>
  <r>
    <n v="10114"/>
    <s v="2024-12-26"/>
    <s v="C2107"/>
    <x v="7"/>
    <x v="0"/>
    <n v="4"/>
    <n v="1200"/>
    <n v="1"/>
    <n v="0.01"/>
    <n v="4752"/>
    <x v="4"/>
    <x v="4"/>
    <x v="1"/>
    <x v="3"/>
    <x v="0"/>
    <x v="1"/>
    <s v="Q4"/>
  </r>
  <r>
    <n v="10115"/>
    <s v="2024-04-29"/>
    <s v="C6493"/>
    <x v="6"/>
    <x v="0"/>
    <n v="3"/>
    <n v="50000"/>
    <n v="4"/>
    <n v="0.04"/>
    <n v="144000"/>
    <x v="2"/>
    <x v="1"/>
    <x v="1"/>
    <x v="1"/>
    <x v="10"/>
    <x v="1"/>
    <s v="Q2"/>
  </r>
  <r>
    <n v="10116"/>
    <s v="2024-03-04"/>
    <s v="C3861"/>
    <x v="1"/>
    <x v="1"/>
    <n v="1"/>
    <n v="15000"/>
    <n v="15"/>
    <n v="0.15"/>
    <n v="12750"/>
    <x v="1"/>
    <x v="3"/>
    <x v="0"/>
    <x v="1"/>
    <x v="11"/>
    <x v="1"/>
    <s v="Q1"/>
  </r>
  <r>
    <n v="10117"/>
    <s v="2024-12-08"/>
    <s v="C6441"/>
    <x v="9"/>
    <x v="1"/>
    <n v="2"/>
    <n v="3000"/>
    <n v="20"/>
    <n v="0.2"/>
    <n v="4800"/>
    <x v="3"/>
    <x v="3"/>
    <x v="6"/>
    <x v="0"/>
    <x v="0"/>
    <x v="1"/>
    <s v="Q4"/>
  </r>
  <r>
    <n v="10118"/>
    <s v="2024-06-13"/>
    <s v="C5264"/>
    <x v="3"/>
    <x v="0"/>
    <n v="10"/>
    <n v="8000"/>
    <n v="5"/>
    <n v="0.05"/>
    <n v="76000"/>
    <x v="4"/>
    <x v="1"/>
    <x v="1"/>
    <x v="3"/>
    <x v="9"/>
    <x v="1"/>
    <s v="Q2"/>
  </r>
  <r>
    <n v="10119"/>
    <s v="2024-03-09"/>
    <s v="C9006"/>
    <x v="9"/>
    <x v="1"/>
    <n v="6"/>
    <n v="3000"/>
    <n v="2"/>
    <n v="0.02"/>
    <n v="17640"/>
    <x v="1"/>
    <x v="0"/>
    <x v="2"/>
    <x v="1"/>
    <x v="11"/>
    <x v="1"/>
    <s v="Q1"/>
  </r>
  <r>
    <n v="10120"/>
    <s v="2024-05-04"/>
    <s v="C2324"/>
    <x v="0"/>
    <x v="0"/>
    <n v="9"/>
    <n v="2000"/>
    <n v="12"/>
    <n v="0.12"/>
    <n v="15840"/>
    <x v="7"/>
    <x v="4"/>
    <x v="1"/>
    <x v="1"/>
    <x v="7"/>
    <x v="1"/>
    <s v="Q2"/>
  </r>
  <r>
    <n v="10121"/>
    <s v="2024-02-21"/>
    <s v="C9063"/>
    <x v="0"/>
    <x v="0"/>
    <n v="9"/>
    <n v="2000"/>
    <n v="9"/>
    <n v="0.09"/>
    <n v="16380"/>
    <x v="2"/>
    <x v="4"/>
    <x v="4"/>
    <x v="1"/>
    <x v="5"/>
    <x v="1"/>
    <s v="Q1"/>
  </r>
  <r>
    <n v="10122"/>
    <s v="2024-01-21"/>
    <s v="C5436"/>
    <x v="7"/>
    <x v="0"/>
    <n v="9"/>
    <n v="1200"/>
    <n v="10"/>
    <n v="0.1"/>
    <n v="9720"/>
    <x v="1"/>
    <x v="3"/>
    <x v="7"/>
    <x v="0"/>
    <x v="8"/>
    <x v="1"/>
    <s v="Q1"/>
  </r>
  <r>
    <n v="10123"/>
    <s v="2024-01-15"/>
    <s v="C1208"/>
    <x v="2"/>
    <x v="0"/>
    <n v="9"/>
    <n v="25000"/>
    <n v="7"/>
    <n v="7.0000000000000007E-2"/>
    <n v="209250"/>
    <x v="5"/>
    <x v="1"/>
    <x v="2"/>
    <x v="1"/>
    <x v="8"/>
    <x v="1"/>
    <s v="Q1"/>
  </r>
  <r>
    <n v="10124"/>
    <s v="2024-02-01"/>
    <s v="C9696"/>
    <x v="3"/>
    <x v="0"/>
    <n v="6"/>
    <n v="8000"/>
    <n v="16"/>
    <n v="0.16"/>
    <n v="40320"/>
    <x v="2"/>
    <x v="4"/>
    <x v="5"/>
    <x v="1"/>
    <x v="5"/>
    <x v="1"/>
    <s v="Q1"/>
  </r>
  <r>
    <n v="10125"/>
    <s v="2024-10-13"/>
    <s v="C5311"/>
    <x v="9"/>
    <x v="1"/>
    <n v="4"/>
    <n v="3000"/>
    <n v="2"/>
    <n v="0.02"/>
    <n v="11760"/>
    <x v="4"/>
    <x v="0"/>
    <x v="4"/>
    <x v="1"/>
    <x v="1"/>
    <x v="1"/>
    <s v="Q4"/>
  </r>
  <r>
    <n v="10126"/>
    <s v="2024-01-25"/>
    <s v="C2884"/>
    <x v="4"/>
    <x v="1"/>
    <n v="3"/>
    <n v="7000"/>
    <n v="7"/>
    <n v="7.0000000000000007E-2"/>
    <n v="19530"/>
    <x v="2"/>
    <x v="4"/>
    <x v="4"/>
    <x v="3"/>
    <x v="8"/>
    <x v="1"/>
    <s v="Q1"/>
  </r>
  <r>
    <n v="10127"/>
    <s v="2024-01-17"/>
    <s v="C7875"/>
    <x v="9"/>
    <x v="1"/>
    <n v="5"/>
    <n v="3000"/>
    <n v="5"/>
    <n v="0.05"/>
    <n v="14250"/>
    <x v="6"/>
    <x v="2"/>
    <x v="7"/>
    <x v="1"/>
    <x v="8"/>
    <x v="1"/>
    <s v="Q1"/>
  </r>
  <r>
    <n v="10128"/>
    <s v="2024-10-14"/>
    <s v="C7477"/>
    <x v="8"/>
    <x v="0"/>
    <n v="3"/>
    <n v="5000"/>
    <n v="0"/>
    <n v="0"/>
    <n v="15000"/>
    <x v="0"/>
    <x v="3"/>
    <x v="6"/>
    <x v="0"/>
    <x v="1"/>
    <x v="1"/>
    <s v="Q4"/>
  </r>
  <r>
    <n v="10129"/>
    <s v="2024-08-22"/>
    <s v="C1639"/>
    <x v="2"/>
    <x v="0"/>
    <n v="6"/>
    <n v="25000"/>
    <n v="18"/>
    <n v="0.18"/>
    <n v="123000"/>
    <x v="2"/>
    <x v="2"/>
    <x v="2"/>
    <x v="1"/>
    <x v="2"/>
    <x v="1"/>
    <s v="Q3"/>
  </r>
  <r>
    <n v="10130"/>
    <s v="2024-06-29"/>
    <s v="C4171"/>
    <x v="8"/>
    <x v="0"/>
    <n v="4"/>
    <n v="5000"/>
    <n v="20"/>
    <n v="0.2"/>
    <n v="16000"/>
    <x v="4"/>
    <x v="3"/>
    <x v="2"/>
    <x v="3"/>
    <x v="9"/>
    <x v="1"/>
    <s v="Q2"/>
  </r>
  <r>
    <n v="10131"/>
    <s v="2024-03-02"/>
    <s v="C1174"/>
    <x v="0"/>
    <x v="0"/>
    <n v="2"/>
    <n v="2000"/>
    <n v="8"/>
    <n v="0.08"/>
    <n v="3680"/>
    <x v="0"/>
    <x v="0"/>
    <x v="1"/>
    <x v="2"/>
    <x v="11"/>
    <x v="1"/>
    <s v="Q1"/>
  </r>
  <r>
    <n v="10132"/>
    <s v="2024-01-19"/>
    <s v="C5717"/>
    <x v="0"/>
    <x v="0"/>
    <n v="6"/>
    <n v="2000"/>
    <n v="10"/>
    <n v="0.1"/>
    <n v="10800"/>
    <x v="7"/>
    <x v="0"/>
    <x v="6"/>
    <x v="1"/>
    <x v="8"/>
    <x v="1"/>
    <s v="Q1"/>
  </r>
  <r>
    <n v="10133"/>
    <s v="2024-09-19"/>
    <s v="C2278"/>
    <x v="0"/>
    <x v="0"/>
    <n v="10"/>
    <n v="2000"/>
    <n v="17"/>
    <n v="0.17"/>
    <n v="16600"/>
    <x v="6"/>
    <x v="4"/>
    <x v="0"/>
    <x v="1"/>
    <x v="4"/>
    <x v="1"/>
    <s v="Q3"/>
  </r>
  <r>
    <n v="10134"/>
    <s v="2024-07-21"/>
    <s v="C2414"/>
    <x v="1"/>
    <x v="1"/>
    <n v="1"/>
    <n v="15000"/>
    <n v="9"/>
    <n v="0.09"/>
    <n v="13650"/>
    <x v="7"/>
    <x v="3"/>
    <x v="6"/>
    <x v="3"/>
    <x v="3"/>
    <x v="1"/>
    <s v="Q3"/>
  </r>
  <r>
    <n v="10135"/>
    <s v="2024-01-21"/>
    <s v="C2357"/>
    <x v="4"/>
    <x v="1"/>
    <n v="6"/>
    <n v="7000"/>
    <n v="16"/>
    <n v="0.16"/>
    <n v="35280"/>
    <x v="7"/>
    <x v="0"/>
    <x v="7"/>
    <x v="1"/>
    <x v="8"/>
    <x v="1"/>
    <s v="Q1"/>
  </r>
  <r>
    <n v="10136"/>
    <s v="2024-07-24"/>
    <s v="C4905"/>
    <x v="5"/>
    <x v="0"/>
    <n v="2"/>
    <n v="500"/>
    <n v="10"/>
    <n v="0.1"/>
    <n v="900"/>
    <x v="2"/>
    <x v="2"/>
    <x v="1"/>
    <x v="1"/>
    <x v="3"/>
    <x v="1"/>
    <s v="Q3"/>
  </r>
  <r>
    <n v="10137"/>
    <s v="2024-06-23"/>
    <s v="C3650"/>
    <x v="0"/>
    <x v="0"/>
    <n v="1"/>
    <n v="2000"/>
    <n v="8"/>
    <n v="0.08"/>
    <n v="1840"/>
    <x v="1"/>
    <x v="1"/>
    <x v="4"/>
    <x v="1"/>
    <x v="9"/>
    <x v="1"/>
    <s v="Q2"/>
  </r>
  <r>
    <n v="10138"/>
    <s v="2024-10-30"/>
    <s v="C9816"/>
    <x v="2"/>
    <x v="0"/>
    <n v="5"/>
    <n v="25000"/>
    <n v="3"/>
    <n v="0.03"/>
    <n v="121250"/>
    <x v="3"/>
    <x v="1"/>
    <x v="4"/>
    <x v="0"/>
    <x v="1"/>
    <x v="1"/>
    <s v="Q4"/>
  </r>
  <r>
    <n v="10139"/>
    <s v="2024-09-18"/>
    <s v="C9370"/>
    <x v="9"/>
    <x v="1"/>
    <n v="2"/>
    <n v="3000"/>
    <n v="3"/>
    <n v="0.03"/>
    <n v="5820"/>
    <x v="3"/>
    <x v="3"/>
    <x v="7"/>
    <x v="2"/>
    <x v="4"/>
    <x v="1"/>
    <s v="Q3"/>
  </r>
  <r>
    <n v="10140"/>
    <s v="2024-03-30"/>
    <s v="C2575"/>
    <x v="3"/>
    <x v="0"/>
    <n v="2"/>
    <n v="8000"/>
    <n v="3"/>
    <n v="0.03"/>
    <n v="15520"/>
    <x v="2"/>
    <x v="3"/>
    <x v="2"/>
    <x v="1"/>
    <x v="11"/>
    <x v="1"/>
    <s v="Q1"/>
  </r>
  <r>
    <n v="10141"/>
    <s v="2024-12-25"/>
    <s v="C4281"/>
    <x v="0"/>
    <x v="0"/>
    <n v="10"/>
    <n v="2000"/>
    <n v="0"/>
    <n v="0"/>
    <n v="20000"/>
    <x v="3"/>
    <x v="1"/>
    <x v="5"/>
    <x v="0"/>
    <x v="0"/>
    <x v="1"/>
    <s v="Q4"/>
  </r>
  <r>
    <n v="10142"/>
    <s v="2024-01-25"/>
    <s v="C5575"/>
    <x v="9"/>
    <x v="1"/>
    <n v="4"/>
    <n v="3000"/>
    <n v="12"/>
    <n v="0.12"/>
    <n v="10560"/>
    <x v="6"/>
    <x v="3"/>
    <x v="2"/>
    <x v="1"/>
    <x v="8"/>
    <x v="1"/>
    <s v="Q1"/>
  </r>
  <r>
    <n v="10143"/>
    <s v="2024-01-25"/>
    <s v="C9939"/>
    <x v="3"/>
    <x v="0"/>
    <n v="9"/>
    <n v="8000"/>
    <n v="7"/>
    <n v="7.0000000000000007E-2"/>
    <n v="66960"/>
    <x v="5"/>
    <x v="0"/>
    <x v="0"/>
    <x v="2"/>
    <x v="8"/>
    <x v="1"/>
    <s v="Q1"/>
  </r>
  <r>
    <n v="10144"/>
    <s v="2024-12-04"/>
    <s v="C7743"/>
    <x v="1"/>
    <x v="1"/>
    <n v="9"/>
    <n v="15000"/>
    <n v="12"/>
    <n v="0.12"/>
    <n v="118800"/>
    <x v="0"/>
    <x v="3"/>
    <x v="3"/>
    <x v="3"/>
    <x v="0"/>
    <x v="1"/>
    <s v="Q4"/>
  </r>
  <r>
    <n v="10145"/>
    <s v="2024-07-29"/>
    <s v="C4778"/>
    <x v="2"/>
    <x v="0"/>
    <n v="5"/>
    <n v="25000"/>
    <n v="11"/>
    <n v="0.11"/>
    <n v="111250"/>
    <x v="2"/>
    <x v="1"/>
    <x v="6"/>
    <x v="2"/>
    <x v="3"/>
    <x v="1"/>
    <s v="Q3"/>
  </r>
  <r>
    <n v="10146"/>
    <s v="2024-03-23"/>
    <s v="C6023"/>
    <x v="3"/>
    <x v="0"/>
    <n v="10"/>
    <n v="8000"/>
    <n v="3"/>
    <n v="0.03"/>
    <n v="77600"/>
    <x v="6"/>
    <x v="3"/>
    <x v="0"/>
    <x v="1"/>
    <x v="11"/>
    <x v="1"/>
    <s v="Q1"/>
  </r>
  <r>
    <n v="10147"/>
    <s v="2024-11-14"/>
    <s v="C5985"/>
    <x v="8"/>
    <x v="0"/>
    <n v="4"/>
    <n v="5000"/>
    <n v="20"/>
    <n v="0.2"/>
    <n v="16000"/>
    <x v="4"/>
    <x v="0"/>
    <x v="5"/>
    <x v="3"/>
    <x v="6"/>
    <x v="1"/>
    <s v="Q4"/>
  </r>
  <r>
    <n v="10148"/>
    <s v="2024-01-24"/>
    <s v="C2763"/>
    <x v="2"/>
    <x v="0"/>
    <n v="3"/>
    <n v="25000"/>
    <n v="12"/>
    <n v="0.12"/>
    <n v="66000"/>
    <x v="0"/>
    <x v="2"/>
    <x v="3"/>
    <x v="1"/>
    <x v="8"/>
    <x v="1"/>
    <s v="Q1"/>
  </r>
  <r>
    <n v="10149"/>
    <s v="2024-08-05"/>
    <s v="C6019"/>
    <x v="5"/>
    <x v="0"/>
    <n v="5"/>
    <n v="500"/>
    <n v="17"/>
    <n v="0.17"/>
    <n v="2075"/>
    <x v="3"/>
    <x v="0"/>
    <x v="0"/>
    <x v="3"/>
    <x v="2"/>
    <x v="1"/>
    <s v="Q3"/>
  </r>
  <r>
    <n v="10150"/>
    <s v="2024-11-02"/>
    <s v="C2120"/>
    <x v="9"/>
    <x v="1"/>
    <n v="8"/>
    <n v="3000"/>
    <n v="16"/>
    <n v="0.16"/>
    <n v="20160"/>
    <x v="7"/>
    <x v="1"/>
    <x v="4"/>
    <x v="2"/>
    <x v="6"/>
    <x v="1"/>
    <s v="Q4"/>
  </r>
  <r>
    <n v="10151"/>
    <s v="2024-02-25"/>
    <s v="C9927"/>
    <x v="0"/>
    <x v="0"/>
    <n v="2"/>
    <n v="2000"/>
    <n v="11"/>
    <n v="0.11"/>
    <n v="3560"/>
    <x v="5"/>
    <x v="2"/>
    <x v="4"/>
    <x v="2"/>
    <x v="5"/>
    <x v="1"/>
    <s v="Q1"/>
  </r>
  <r>
    <n v="10152"/>
    <s v="2024-03-11"/>
    <s v="C6133"/>
    <x v="0"/>
    <x v="0"/>
    <n v="8"/>
    <n v="2000"/>
    <n v="20"/>
    <n v="0.2"/>
    <n v="12800"/>
    <x v="5"/>
    <x v="4"/>
    <x v="7"/>
    <x v="2"/>
    <x v="11"/>
    <x v="1"/>
    <s v="Q1"/>
  </r>
  <r>
    <n v="10153"/>
    <s v="2024-06-13"/>
    <s v="C3185"/>
    <x v="3"/>
    <x v="0"/>
    <n v="3"/>
    <n v="8000"/>
    <n v="20"/>
    <n v="0.2"/>
    <n v="19200"/>
    <x v="3"/>
    <x v="4"/>
    <x v="6"/>
    <x v="0"/>
    <x v="9"/>
    <x v="1"/>
    <s v="Q2"/>
  </r>
  <r>
    <n v="10154"/>
    <s v="2024-04-20"/>
    <s v="C6501"/>
    <x v="4"/>
    <x v="1"/>
    <n v="9"/>
    <n v="7000"/>
    <n v="8"/>
    <n v="0.08"/>
    <n v="57960"/>
    <x v="5"/>
    <x v="1"/>
    <x v="3"/>
    <x v="0"/>
    <x v="10"/>
    <x v="1"/>
    <s v="Q2"/>
  </r>
  <r>
    <n v="10155"/>
    <s v="2024-04-03"/>
    <s v="C2816"/>
    <x v="0"/>
    <x v="0"/>
    <n v="5"/>
    <n v="2000"/>
    <n v="4"/>
    <n v="0.04"/>
    <n v="9600"/>
    <x v="3"/>
    <x v="3"/>
    <x v="6"/>
    <x v="0"/>
    <x v="10"/>
    <x v="1"/>
    <s v="Q2"/>
  </r>
  <r>
    <n v="10156"/>
    <s v="2024-02-25"/>
    <s v="C9531"/>
    <x v="2"/>
    <x v="0"/>
    <n v="9"/>
    <n v="25000"/>
    <n v="18"/>
    <n v="0.18"/>
    <n v="184500"/>
    <x v="6"/>
    <x v="3"/>
    <x v="7"/>
    <x v="3"/>
    <x v="5"/>
    <x v="1"/>
    <s v="Q1"/>
  </r>
  <r>
    <n v="10157"/>
    <s v="2024-01-22"/>
    <s v="C5902"/>
    <x v="6"/>
    <x v="0"/>
    <n v="5"/>
    <n v="50000"/>
    <n v="1"/>
    <n v="0.01"/>
    <n v="247500"/>
    <x v="1"/>
    <x v="1"/>
    <x v="0"/>
    <x v="3"/>
    <x v="8"/>
    <x v="1"/>
    <s v="Q1"/>
  </r>
  <r>
    <n v="10158"/>
    <s v="2024-06-20"/>
    <s v="C6904"/>
    <x v="0"/>
    <x v="0"/>
    <n v="2"/>
    <n v="2000"/>
    <n v="2"/>
    <n v="0.02"/>
    <n v="3920"/>
    <x v="6"/>
    <x v="4"/>
    <x v="1"/>
    <x v="0"/>
    <x v="9"/>
    <x v="1"/>
    <s v="Q2"/>
  </r>
  <r>
    <n v="10159"/>
    <s v="2024-09-06"/>
    <s v="C5481"/>
    <x v="0"/>
    <x v="0"/>
    <n v="8"/>
    <n v="2000"/>
    <n v="0"/>
    <n v="0"/>
    <n v="16000"/>
    <x v="5"/>
    <x v="2"/>
    <x v="0"/>
    <x v="3"/>
    <x v="4"/>
    <x v="1"/>
    <s v="Q3"/>
  </r>
  <r>
    <n v="10160"/>
    <s v="2024-12-12"/>
    <s v="C5056"/>
    <x v="2"/>
    <x v="0"/>
    <n v="6"/>
    <n v="25000"/>
    <n v="13"/>
    <n v="0.13"/>
    <n v="130500"/>
    <x v="2"/>
    <x v="2"/>
    <x v="5"/>
    <x v="1"/>
    <x v="0"/>
    <x v="1"/>
    <s v="Q4"/>
  </r>
  <r>
    <n v="10161"/>
    <s v="2024-04-04"/>
    <s v="C1010"/>
    <x v="2"/>
    <x v="0"/>
    <n v="6"/>
    <n v="25000"/>
    <n v="3"/>
    <n v="0.03"/>
    <n v="145500"/>
    <x v="3"/>
    <x v="3"/>
    <x v="6"/>
    <x v="1"/>
    <x v="10"/>
    <x v="1"/>
    <s v="Q2"/>
  </r>
  <r>
    <n v="10162"/>
    <s v="2024-07-15"/>
    <s v="C5636"/>
    <x v="6"/>
    <x v="0"/>
    <n v="4"/>
    <n v="50000"/>
    <n v="17"/>
    <n v="0.17"/>
    <n v="166000"/>
    <x v="1"/>
    <x v="4"/>
    <x v="6"/>
    <x v="2"/>
    <x v="3"/>
    <x v="1"/>
    <s v="Q3"/>
  </r>
  <r>
    <n v="10163"/>
    <s v="2024-08-14"/>
    <s v="C1702"/>
    <x v="6"/>
    <x v="0"/>
    <n v="8"/>
    <n v="50000"/>
    <n v="20"/>
    <n v="0.2"/>
    <n v="320000"/>
    <x v="4"/>
    <x v="2"/>
    <x v="6"/>
    <x v="1"/>
    <x v="2"/>
    <x v="1"/>
    <s v="Q3"/>
  </r>
  <r>
    <n v="10164"/>
    <s v="2024-09-30"/>
    <s v="C3594"/>
    <x v="0"/>
    <x v="0"/>
    <n v="8"/>
    <n v="2000"/>
    <n v="5"/>
    <n v="0.05"/>
    <n v="15200"/>
    <x v="3"/>
    <x v="3"/>
    <x v="3"/>
    <x v="0"/>
    <x v="4"/>
    <x v="1"/>
    <s v="Q3"/>
  </r>
  <r>
    <n v="10165"/>
    <s v="2024-03-16"/>
    <s v="C8543"/>
    <x v="7"/>
    <x v="0"/>
    <n v="1"/>
    <n v="1200"/>
    <n v="20"/>
    <n v="0.2"/>
    <n v="960"/>
    <x v="1"/>
    <x v="3"/>
    <x v="3"/>
    <x v="1"/>
    <x v="11"/>
    <x v="1"/>
    <s v="Q1"/>
  </r>
  <r>
    <n v="10166"/>
    <s v="2024-01-16"/>
    <s v="C3223"/>
    <x v="8"/>
    <x v="0"/>
    <n v="1"/>
    <n v="5000"/>
    <n v="2"/>
    <n v="0.02"/>
    <n v="4900"/>
    <x v="3"/>
    <x v="0"/>
    <x v="5"/>
    <x v="3"/>
    <x v="8"/>
    <x v="1"/>
    <s v="Q1"/>
  </r>
  <r>
    <n v="10167"/>
    <s v="2024-08-26"/>
    <s v="C4471"/>
    <x v="7"/>
    <x v="0"/>
    <n v="4"/>
    <n v="1200"/>
    <n v="11"/>
    <n v="0.11"/>
    <n v="4272"/>
    <x v="1"/>
    <x v="3"/>
    <x v="0"/>
    <x v="2"/>
    <x v="2"/>
    <x v="1"/>
    <s v="Q3"/>
  </r>
  <r>
    <n v="10168"/>
    <s v="2024-09-14"/>
    <s v="C3648"/>
    <x v="7"/>
    <x v="0"/>
    <n v="8"/>
    <n v="1200"/>
    <n v="19"/>
    <n v="0.19"/>
    <n v="7776"/>
    <x v="0"/>
    <x v="2"/>
    <x v="2"/>
    <x v="1"/>
    <x v="4"/>
    <x v="1"/>
    <s v="Q3"/>
  </r>
  <r>
    <n v="10169"/>
    <s v="2024-08-22"/>
    <s v="C5506"/>
    <x v="3"/>
    <x v="0"/>
    <n v="4"/>
    <n v="8000"/>
    <n v="3"/>
    <n v="0.03"/>
    <n v="31040"/>
    <x v="7"/>
    <x v="3"/>
    <x v="3"/>
    <x v="1"/>
    <x v="2"/>
    <x v="1"/>
    <s v="Q3"/>
  </r>
  <r>
    <n v="10170"/>
    <s v="2024-07-29"/>
    <s v="C1412"/>
    <x v="5"/>
    <x v="0"/>
    <n v="2"/>
    <n v="500"/>
    <n v="0"/>
    <n v="0"/>
    <n v="1000"/>
    <x v="5"/>
    <x v="0"/>
    <x v="6"/>
    <x v="1"/>
    <x v="3"/>
    <x v="1"/>
    <s v="Q3"/>
  </r>
  <r>
    <n v="10171"/>
    <s v="2024-11-19"/>
    <s v="C1085"/>
    <x v="3"/>
    <x v="0"/>
    <n v="7"/>
    <n v="8000"/>
    <n v="16"/>
    <n v="0.16"/>
    <n v="47040"/>
    <x v="2"/>
    <x v="2"/>
    <x v="6"/>
    <x v="2"/>
    <x v="6"/>
    <x v="1"/>
    <s v="Q4"/>
  </r>
  <r>
    <n v="10172"/>
    <s v="2024-01-06"/>
    <s v="C5604"/>
    <x v="4"/>
    <x v="1"/>
    <n v="1"/>
    <n v="7000"/>
    <n v="4"/>
    <n v="0.04"/>
    <n v="6720"/>
    <x v="2"/>
    <x v="4"/>
    <x v="6"/>
    <x v="3"/>
    <x v="8"/>
    <x v="1"/>
    <s v="Q1"/>
  </r>
  <r>
    <n v="10173"/>
    <s v="2024-05-04"/>
    <s v="C8096"/>
    <x v="7"/>
    <x v="0"/>
    <n v="10"/>
    <n v="1200"/>
    <n v="6"/>
    <n v="0.06"/>
    <n v="11280"/>
    <x v="7"/>
    <x v="2"/>
    <x v="3"/>
    <x v="2"/>
    <x v="7"/>
    <x v="1"/>
    <s v="Q2"/>
  </r>
  <r>
    <n v="10174"/>
    <s v="2024-05-22"/>
    <s v="C5966"/>
    <x v="7"/>
    <x v="0"/>
    <n v="3"/>
    <n v="1200"/>
    <n v="15"/>
    <n v="0.15"/>
    <n v="3060"/>
    <x v="7"/>
    <x v="2"/>
    <x v="5"/>
    <x v="2"/>
    <x v="7"/>
    <x v="1"/>
    <s v="Q2"/>
  </r>
  <r>
    <n v="10175"/>
    <s v="2024-08-12"/>
    <s v="C2059"/>
    <x v="6"/>
    <x v="0"/>
    <n v="4"/>
    <n v="50000"/>
    <n v="20"/>
    <n v="0.2"/>
    <n v="160000"/>
    <x v="6"/>
    <x v="2"/>
    <x v="2"/>
    <x v="0"/>
    <x v="2"/>
    <x v="1"/>
    <s v="Q3"/>
  </r>
  <r>
    <n v="10176"/>
    <s v="2024-12-09"/>
    <s v="C2969"/>
    <x v="2"/>
    <x v="0"/>
    <n v="5"/>
    <n v="25000"/>
    <n v="13"/>
    <n v="0.13"/>
    <n v="108750"/>
    <x v="0"/>
    <x v="3"/>
    <x v="4"/>
    <x v="2"/>
    <x v="0"/>
    <x v="1"/>
    <s v="Q4"/>
  </r>
  <r>
    <n v="10177"/>
    <s v="2024-09-22"/>
    <s v="C7957"/>
    <x v="8"/>
    <x v="0"/>
    <n v="6"/>
    <n v="5000"/>
    <n v="1"/>
    <n v="0.01"/>
    <n v="29700"/>
    <x v="2"/>
    <x v="4"/>
    <x v="0"/>
    <x v="1"/>
    <x v="4"/>
    <x v="1"/>
    <s v="Q3"/>
  </r>
  <r>
    <n v="10178"/>
    <s v="2024-11-21"/>
    <s v="C6473"/>
    <x v="2"/>
    <x v="0"/>
    <n v="6"/>
    <n v="25000"/>
    <n v="2"/>
    <n v="0.02"/>
    <n v="147000"/>
    <x v="5"/>
    <x v="1"/>
    <x v="0"/>
    <x v="1"/>
    <x v="6"/>
    <x v="1"/>
    <s v="Q4"/>
  </r>
  <r>
    <n v="10179"/>
    <s v="2024-11-02"/>
    <s v="C1023"/>
    <x v="8"/>
    <x v="0"/>
    <n v="8"/>
    <n v="5000"/>
    <n v="18"/>
    <n v="0.18"/>
    <n v="32800"/>
    <x v="0"/>
    <x v="4"/>
    <x v="1"/>
    <x v="2"/>
    <x v="6"/>
    <x v="1"/>
    <s v="Q4"/>
  </r>
  <r>
    <n v="10180"/>
    <s v="2024-09-10"/>
    <s v="C7051"/>
    <x v="9"/>
    <x v="1"/>
    <n v="8"/>
    <n v="3000"/>
    <n v="10"/>
    <n v="0.1"/>
    <n v="21600"/>
    <x v="4"/>
    <x v="3"/>
    <x v="4"/>
    <x v="1"/>
    <x v="4"/>
    <x v="1"/>
    <s v="Q3"/>
  </r>
  <r>
    <n v="10181"/>
    <s v="2024-05-09"/>
    <s v="C6496"/>
    <x v="3"/>
    <x v="0"/>
    <n v="5"/>
    <n v="8000"/>
    <n v="9"/>
    <n v="0.09"/>
    <n v="36400"/>
    <x v="6"/>
    <x v="1"/>
    <x v="6"/>
    <x v="1"/>
    <x v="7"/>
    <x v="1"/>
    <s v="Q2"/>
  </r>
  <r>
    <n v="10182"/>
    <s v="2024-10-21"/>
    <s v="C8772"/>
    <x v="0"/>
    <x v="0"/>
    <n v="2"/>
    <n v="2000"/>
    <n v="4"/>
    <n v="0.04"/>
    <n v="3840"/>
    <x v="6"/>
    <x v="1"/>
    <x v="4"/>
    <x v="3"/>
    <x v="1"/>
    <x v="1"/>
    <s v="Q4"/>
  </r>
  <r>
    <n v="10183"/>
    <s v="2024-09-08"/>
    <s v="C2526"/>
    <x v="8"/>
    <x v="0"/>
    <n v="3"/>
    <n v="5000"/>
    <n v="17"/>
    <n v="0.17"/>
    <n v="12450"/>
    <x v="3"/>
    <x v="3"/>
    <x v="3"/>
    <x v="3"/>
    <x v="4"/>
    <x v="1"/>
    <s v="Q3"/>
  </r>
  <r>
    <n v="10184"/>
    <s v="2024-09-06"/>
    <s v="C7876"/>
    <x v="4"/>
    <x v="1"/>
    <n v="6"/>
    <n v="7000"/>
    <n v="19"/>
    <n v="0.19"/>
    <n v="34020"/>
    <x v="5"/>
    <x v="4"/>
    <x v="6"/>
    <x v="0"/>
    <x v="4"/>
    <x v="1"/>
    <s v="Q3"/>
  </r>
  <r>
    <n v="10185"/>
    <s v="2024-10-26"/>
    <s v="C7225"/>
    <x v="3"/>
    <x v="0"/>
    <n v="4"/>
    <n v="8000"/>
    <n v="8"/>
    <n v="0.08"/>
    <n v="29440"/>
    <x v="7"/>
    <x v="0"/>
    <x v="4"/>
    <x v="3"/>
    <x v="1"/>
    <x v="1"/>
    <s v="Q4"/>
  </r>
  <r>
    <n v="10186"/>
    <s v="2024-10-04"/>
    <s v="C1082"/>
    <x v="6"/>
    <x v="0"/>
    <n v="1"/>
    <n v="50000"/>
    <n v="3"/>
    <n v="0.03"/>
    <n v="48500"/>
    <x v="0"/>
    <x v="3"/>
    <x v="3"/>
    <x v="3"/>
    <x v="1"/>
    <x v="1"/>
    <s v="Q4"/>
  </r>
  <r>
    <n v="10187"/>
    <s v="2024-12-08"/>
    <s v="C8438"/>
    <x v="3"/>
    <x v="0"/>
    <n v="2"/>
    <n v="8000"/>
    <n v="6"/>
    <n v="0.06"/>
    <n v="15040"/>
    <x v="7"/>
    <x v="1"/>
    <x v="6"/>
    <x v="3"/>
    <x v="0"/>
    <x v="1"/>
    <s v="Q4"/>
  </r>
  <r>
    <n v="10188"/>
    <s v="2024-06-04"/>
    <s v="C3275"/>
    <x v="7"/>
    <x v="0"/>
    <n v="3"/>
    <n v="1200"/>
    <n v="2"/>
    <n v="0.02"/>
    <n v="3528"/>
    <x v="1"/>
    <x v="1"/>
    <x v="7"/>
    <x v="1"/>
    <x v="9"/>
    <x v="1"/>
    <s v="Q2"/>
  </r>
  <r>
    <n v="10189"/>
    <s v="2024-09-10"/>
    <s v="C2156"/>
    <x v="1"/>
    <x v="1"/>
    <n v="10"/>
    <n v="15000"/>
    <n v="2"/>
    <n v="0.02"/>
    <n v="147000"/>
    <x v="5"/>
    <x v="1"/>
    <x v="3"/>
    <x v="1"/>
    <x v="4"/>
    <x v="1"/>
    <s v="Q3"/>
  </r>
  <r>
    <n v="10190"/>
    <s v="2024-10-02"/>
    <s v="C6674"/>
    <x v="2"/>
    <x v="0"/>
    <n v="2"/>
    <n v="25000"/>
    <n v="13"/>
    <n v="0.13"/>
    <n v="43500"/>
    <x v="0"/>
    <x v="3"/>
    <x v="5"/>
    <x v="1"/>
    <x v="1"/>
    <x v="1"/>
    <s v="Q4"/>
  </r>
  <r>
    <n v="10191"/>
    <s v="2024-12-28"/>
    <s v="C7425"/>
    <x v="3"/>
    <x v="0"/>
    <n v="4"/>
    <n v="8000"/>
    <n v="6"/>
    <n v="0.06"/>
    <n v="30080"/>
    <x v="3"/>
    <x v="0"/>
    <x v="1"/>
    <x v="0"/>
    <x v="0"/>
    <x v="1"/>
    <s v="Q4"/>
  </r>
  <r>
    <n v="10192"/>
    <s v="2024-07-05"/>
    <s v="C4933"/>
    <x v="6"/>
    <x v="0"/>
    <n v="1"/>
    <n v="50000"/>
    <n v="11"/>
    <n v="0.11"/>
    <n v="44500"/>
    <x v="7"/>
    <x v="0"/>
    <x v="1"/>
    <x v="3"/>
    <x v="3"/>
    <x v="1"/>
    <s v="Q3"/>
  </r>
  <r>
    <n v="10193"/>
    <s v="2024-06-25"/>
    <s v="C3772"/>
    <x v="3"/>
    <x v="0"/>
    <n v="1"/>
    <n v="8000"/>
    <n v="16"/>
    <n v="0.16"/>
    <n v="6720"/>
    <x v="0"/>
    <x v="3"/>
    <x v="5"/>
    <x v="1"/>
    <x v="9"/>
    <x v="1"/>
    <s v="Q2"/>
  </r>
  <r>
    <n v="10194"/>
    <s v="2024-10-23"/>
    <s v="C4842"/>
    <x v="8"/>
    <x v="0"/>
    <n v="2"/>
    <n v="5000"/>
    <n v="0"/>
    <n v="0"/>
    <n v="10000"/>
    <x v="6"/>
    <x v="4"/>
    <x v="6"/>
    <x v="2"/>
    <x v="1"/>
    <x v="1"/>
    <s v="Q4"/>
  </r>
  <r>
    <n v="10195"/>
    <s v="2024-04-06"/>
    <s v="C2171"/>
    <x v="5"/>
    <x v="0"/>
    <n v="10"/>
    <n v="500"/>
    <n v="14"/>
    <n v="0.14000000000000001"/>
    <n v="4300"/>
    <x v="3"/>
    <x v="3"/>
    <x v="5"/>
    <x v="1"/>
    <x v="10"/>
    <x v="1"/>
    <s v="Q2"/>
  </r>
  <r>
    <n v="10196"/>
    <s v="2024-09-08"/>
    <s v="C1535"/>
    <x v="6"/>
    <x v="0"/>
    <n v="2"/>
    <n v="50000"/>
    <n v="14"/>
    <n v="0.14000000000000001"/>
    <n v="86000"/>
    <x v="5"/>
    <x v="4"/>
    <x v="6"/>
    <x v="1"/>
    <x v="4"/>
    <x v="1"/>
    <s v="Q3"/>
  </r>
  <r>
    <n v="10197"/>
    <s v="2024-02-13"/>
    <s v="C2784"/>
    <x v="3"/>
    <x v="0"/>
    <n v="6"/>
    <n v="8000"/>
    <n v="20"/>
    <n v="0.2"/>
    <n v="38400"/>
    <x v="5"/>
    <x v="0"/>
    <x v="1"/>
    <x v="1"/>
    <x v="5"/>
    <x v="1"/>
    <s v="Q1"/>
  </r>
  <r>
    <n v="10198"/>
    <s v="2024-04-15"/>
    <s v="C8237"/>
    <x v="3"/>
    <x v="0"/>
    <n v="9"/>
    <n v="8000"/>
    <n v="1"/>
    <n v="0.01"/>
    <n v="71280"/>
    <x v="7"/>
    <x v="4"/>
    <x v="4"/>
    <x v="1"/>
    <x v="10"/>
    <x v="1"/>
    <s v="Q2"/>
  </r>
  <r>
    <n v="10199"/>
    <s v="2024-09-11"/>
    <s v="C4179"/>
    <x v="0"/>
    <x v="0"/>
    <n v="3"/>
    <n v="2000"/>
    <n v="7"/>
    <n v="7.0000000000000007E-2"/>
    <n v="5580"/>
    <x v="1"/>
    <x v="0"/>
    <x v="7"/>
    <x v="0"/>
    <x v="4"/>
    <x v="1"/>
    <s v="Q3"/>
  </r>
  <r>
    <n v="10200"/>
    <s v="2024-11-27"/>
    <s v="C5193"/>
    <x v="4"/>
    <x v="1"/>
    <n v="3"/>
    <n v="7000"/>
    <n v="17"/>
    <n v="0.17"/>
    <n v="17430"/>
    <x v="2"/>
    <x v="2"/>
    <x v="7"/>
    <x v="0"/>
    <x v="6"/>
    <x v="1"/>
    <s v="Q4"/>
  </r>
  <r>
    <n v="10201"/>
    <s v="2025-06-27"/>
    <s v="C7225"/>
    <x v="0"/>
    <x v="0"/>
    <n v="8"/>
    <n v="2000"/>
    <n v="2"/>
    <n v="0.02"/>
    <n v="15680"/>
    <x v="4"/>
    <x v="3"/>
    <x v="3"/>
    <x v="0"/>
    <x v="9"/>
    <x v="2"/>
    <s v="Q2"/>
  </r>
  <r>
    <n v="10202"/>
    <s v="2025-03-13"/>
    <s v="C8585"/>
    <x v="9"/>
    <x v="1"/>
    <n v="4"/>
    <n v="3000"/>
    <n v="18"/>
    <n v="0.18"/>
    <n v="9840"/>
    <x v="3"/>
    <x v="3"/>
    <x v="1"/>
    <x v="1"/>
    <x v="11"/>
    <x v="2"/>
    <s v="Q1"/>
  </r>
  <r>
    <n v="10203"/>
    <s v="2025-11-21"/>
    <s v="C7828"/>
    <x v="2"/>
    <x v="0"/>
    <n v="5"/>
    <n v="25000"/>
    <n v="16"/>
    <n v="0.16"/>
    <n v="105000"/>
    <x v="4"/>
    <x v="1"/>
    <x v="6"/>
    <x v="3"/>
    <x v="6"/>
    <x v="2"/>
    <s v="Q4"/>
  </r>
  <r>
    <n v="10204"/>
    <s v="2025-11-02"/>
    <s v="C4697"/>
    <x v="3"/>
    <x v="0"/>
    <n v="7"/>
    <n v="8000"/>
    <n v="20"/>
    <n v="0.2"/>
    <n v="44800"/>
    <x v="3"/>
    <x v="4"/>
    <x v="3"/>
    <x v="0"/>
    <x v="6"/>
    <x v="2"/>
    <s v="Q4"/>
  </r>
  <r>
    <n v="10205"/>
    <s v="2025-01-26"/>
    <s v="C9537"/>
    <x v="8"/>
    <x v="0"/>
    <n v="3"/>
    <n v="5000"/>
    <n v="9"/>
    <n v="0.09"/>
    <n v="13650"/>
    <x v="6"/>
    <x v="0"/>
    <x v="2"/>
    <x v="1"/>
    <x v="8"/>
    <x v="2"/>
    <s v="Q1"/>
  </r>
  <r>
    <n v="10206"/>
    <s v="2025-06-17"/>
    <s v="C2056"/>
    <x v="8"/>
    <x v="0"/>
    <n v="1"/>
    <n v="5000"/>
    <n v="10"/>
    <n v="0.1"/>
    <n v="4500"/>
    <x v="1"/>
    <x v="1"/>
    <x v="0"/>
    <x v="0"/>
    <x v="9"/>
    <x v="2"/>
    <s v="Q2"/>
  </r>
  <r>
    <n v="10207"/>
    <s v="2025-05-22"/>
    <s v="C4063"/>
    <x v="7"/>
    <x v="0"/>
    <n v="3"/>
    <n v="1200"/>
    <n v="19"/>
    <n v="0.19"/>
    <n v="2916"/>
    <x v="4"/>
    <x v="2"/>
    <x v="4"/>
    <x v="3"/>
    <x v="7"/>
    <x v="2"/>
    <s v="Q2"/>
  </r>
  <r>
    <n v="10208"/>
    <s v="2025-07-07"/>
    <s v="C2638"/>
    <x v="2"/>
    <x v="0"/>
    <n v="5"/>
    <n v="25000"/>
    <n v="18"/>
    <n v="0.18"/>
    <n v="102500"/>
    <x v="5"/>
    <x v="4"/>
    <x v="0"/>
    <x v="0"/>
    <x v="3"/>
    <x v="2"/>
    <s v="Q3"/>
  </r>
  <r>
    <n v="10209"/>
    <s v="2025-10-19"/>
    <s v="C5685"/>
    <x v="6"/>
    <x v="0"/>
    <n v="2"/>
    <n v="50000"/>
    <n v="16"/>
    <n v="0.16"/>
    <n v="84000"/>
    <x v="5"/>
    <x v="4"/>
    <x v="3"/>
    <x v="3"/>
    <x v="1"/>
    <x v="2"/>
    <s v="Q4"/>
  </r>
  <r>
    <n v="10210"/>
    <s v="2025-12-27"/>
    <s v="C6850"/>
    <x v="5"/>
    <x v="0"/>
    <n v="9"/>
    <n v="500"/>
    <n v="14"/>
    <n v="0.14000000000000001"/>
    <n v="3870"/>
    <x v="2"/>
    <x v="2"/>
    <x v="6"/>
    <x v="2"/>
    <x v="0"/>
    <x v="2"/>
    <s v="Q4"/>
  </r>
  <r>
    <n v="10211"/>
    <s v="2025-02-17"/>
    <s v="C1097"/>
    <x v="1"/>
    <x v="1"/>
    <n v="9"/>
    <n v="15000"/>
    <n v="15"/>
    <n v="0.15"/>
    <n v="114750"/>
    <x v="2"/>
    <x v="1"/>
    <x v="0"/>
    <x v="2"/>
    <x v="5"/>
    <x v="2"/>
    <s v="Q1"/>
  </r>
  <r>
    <n v="10212"/>
    <s v="2025-02-23"/>
    <s v="C6813"/>
    <x v="3"/>
    <x v="0"/>
    <n v="2"/>
    <n v="8000"/>
    <n v="4"/>
    <n v="0.04"/>
    <n v="15360"/>
    <x v="0"/>
    <x v="4"/>
    <x v="5"/>
    <x v="3"/>
    <x v="5"/>
    <x v="2"/>
    <s v="Q1"/>
  </r>
  <r>
    <n v="10213"/>
    <s v="2025-12-03"/>
    <s v="C2337"/>
    <x v="1"/>
    <x v="1"/>
    <n v="1"/>
    <n v="15000"/>
    <n v="5"/>
    <n v="0.05"/>
    <n v="14250"/>
    <x v="1"/>
    <x v="1"/>
    <x v="1"/>
    <x v="1"/>
    <x v="0"/>
    <x v="2"/>
    <s v="Q4"/>
  </r>
  <r>
    <n v="10214"/>
    <s v="2025-03-15"/>
    <s v="C5468"/>
    <x v="2"/>
    <x v="0"/>
    <n v="1"/>
    <n v="25000"/>
    <n v="6"/>
    <n v="0.06"/>
    <n v="23500"/>
    <x v="1"/>
    <x v="3"/>
    <x v="2"/>
    <x v="1"/>
    <x v="11"/>
    <x v="2"/>
    <s v="Q1"/>
  </r>
  <r>
    <n v="10215"/>
    <s v="2025-12-24"/>
    <s v="C8906"/>
    <x v="3"/>
    <x v="0"/>
    <n v="8"/>
    <n v="8000"/>
    <n v="1"/>
    <n v="0.01"/>
    <n v="63360"/>
    <x v="0"/>
    <x v="3"/>
    <x v="1"/>
    <x v="2"/>
    <x v="0"/>
    <x v="2"/>
    <s v="Q4"/>
  </r>
  <r>
    <n v="10216"/>
    <s v="2025-08-24"/>
    <s v="C8210"/>
    <x v="6"/>
    <x v="0"/>
    <n v="9"/>
    <n v="50000"/>
    <n v="10"/>
    <n v="0.1"/>
    <n v="405000"/>
    <x v="4"/>
    <x v="3"/>
    <x v="7"/>
    <x v="0"/>
    <x v="2"/>
    <x v="2"/>
    <s v="Q3"/>
  </r>
  <r>
    <n v="10217"/>
    <s v="2025-03-31"/>
    <s v="C9987"/>
    <x v="3"/>
    <x v="0"/>
    <n v="5"/>
    <n v="8000"/>
    <n v="12"/>
    <n v="0.12"/>
    <n v="35200"/>
    <x v="2"/>
    <x v="2"/>
    <x v="4"/>
    <x v="1"/>
    <x v="11"/>
    <x v="2"/>
    <s v="Q1"/>
  </r>
  <r>
    <n v="10218"/>
    <s v="2025-02-26"/>
    <s v="C7229"/>
    <x v="0"/>
    <x v="0"/>
    <n v="4"/>
    <n v="2000"/>
    <n v="13"/>
    <n v="0.13"/>
    <n v="6960"/>
    <x v="1"/>
    <x v="2"/>
    <x v="1"/>
    <x v="1"/>
    <x v="5"/>
    <x v="2"/>
    <s v="Q1"/>
  </r>
  <r>
    <n v="10219"/>
    <s v="2025-02-26"/>
    <s v="C9023"/>
    <x v="3"/>
    <x v="0"/>
    <n v="6"/>
    <n v="8000"/>
    <n v="9"/>
    <n v="0.09"/>
    <n v="43680"/>
    <x v="3"/>
    <x v="3"/>
    <x v="3"/>
    <x v="1"/>
    <x v="5"/>
    <x v="2"/>
    <s v="Q1"/>
  </r>
  <r>
    <n v="10220"/>
    <s v="2025-10-31"/>
    <s v="C5428"/>
    <x v="8"/>
    <x v="0"/>
    <n v="3"/>
    <n v="5000"/>
    <n v="4"/>
    <n v="0.04"/>
    <n v="14400"/>
    <x v="3"/>
    <x v="2"/>
    <x v="1"/>
    <x v="0"/>
    <x v="1"/>
    <x v="2"/>
    <s v="Q4"/>
  </r>
  <r>
    <n v="10221"/>
    <s v="2025-07-22"/>
    <s v="C9507"/>
    <x v="1"/>
    <x v="1"/>
    <n v="1"/>
    <n v="15000"/>
    <n v="2"/>
    <n v="0.02"/>
    <n v="14700"/>
    <x v="7"/>
    <x v="3"/>
    <x v="3"/>
    <x v="0"/>
    <x v="3"/>
    <x v="2"/>
    <s v="Q3"/>
  </r>
  <r>
    <n v="10222"/>
    <s v="2025-08-22"/>
    <s v="C2103"/>
    <x v="3"/>
    <x v="0"/>
    <n v="6"/>
    <n v="8000"/>
    <n v="16"/>
    <n v="0.16"/>
    <n v="40320"/>
    <x v="2"/>
    <x v="3"/>
    <x v="1"/>
    <x v="2"/>
    <x v="2"/>
    <x v="2"/>
    <s v="Q3"/>
  </r>
  <r>
    <n v="10223"/>
    <s v="2025-01-05"/>
    <s v="C3761"/>
    <x v="2"/>
    <x v="0"/>
    <n v="4"/>
    <n v="25000"/>
    <n v="18"/>
    <n v="0.18"/>
    <n v="82000"/>
    <x v="7"/>
    <x v="4"/>
    <x v="4"/>
    <x v="0"/>
    <x v="8"/>
    <x v="2"/>
    <s v="Q1"/>
  </r>
  <r>
    <n v="10224"/>
    <s v="2025-07-17"/>
    <s v="C8969"/>
    <x v="0"/>
    <x v="0"/>
    <n v="6"/>
    <n v="2000"/>
    <n v="1"/>
    <n v="0.01"/>
    <n v="11880"/>
    <x v="1"/>
    <x v="0"/>
    <x v="0"/>
    <x v="3"/>
    <x v="3"/>
    <x v="2"/>
    <s v="Q3"/>
  </r>
  <r>
    <n v="10225"/>
    <s v="2025-02-02"/>
    <s v="C6762"/>
    <x v="0"/>
    <x v="0"/>
    <n v="3"/>
    <n v="2000"/>
    <n v="6"/>
    <n v="0.06"/>
    <n v="5640"/>
    <x v="4"/>
    <x v="1"/>
    <x v="0"/>
    <x v="2"/>
    <x v="5"/>
    <x v="2"/>
    <s v="Q1"/>
  </r>
  <r>
    <n v="10226"/>
    <s v="2025-12-22"/>
    <s v="C2689"/>
    <x v="1"/>
    <x v="1"/>
    <n v="9"/>
    <n v="15000"/>
    <n v="15"/>
    <n v="0.15"/>
    <n v="114750"/>
    <x v="2"/>
    <x v="1"/>
    <x v="4"/>
    <x v="1"/>
    <x v="0"/>
    <x v="2"/>
    <s v="Q4"/>
  </r>
  <r>
    <n v="10227"/>
    <s v="2025-04-23"/>
    <s v="C8704"/>
    <x v="9"/>
    <x v="1"/>
    <n v="9"/>
    <n v="3000"/>
    <n v="15"/>
    <n v="0.15"/>
    <n v="22950"/>
    <x v="4"/>
    <x v="3"/>
    <x v="4"/>
    <x v="3"/>
    <x v="10"/>
    <x v="2"/>
    <s v="Q2"/>
  </r>
  <r>
    <n v="10228"/>
    <s v="2025-03-22"/>
    <s v="C2400"/>
    <x v="3"/>
    <x v="0"/>
    <n v="3"/>
    <n v="8000"/>
    <n v="18"/>
    <n v="0.18"/>
    <n v="19680"/>
    <x v="0"/>
    <x v="0"/>
    <x v="3"/>
    <x v="1"/>
    <x v="11"/>
    <x v="2"/>
    <s v="Q1"/>
  </r>
  <r>
    <n v="10229"/>
    <s v="2025-12-26"/>
    <s v="C5248"/>
    <x v="2"/>
    <x v="0"/>
    <n v="8"/>
    <n v="25000"/>
    <n v="17"/>
    <n v="0.17"/>
    <n v="166000"/>
    <x v="6"/>
    <x v="2"/>
    <x v="5"/>
    <x v="0"/>
    <x v="0"/>
    <x v="2"/>
    <s v="Q4"/>
  </r>
  <r>
    <n v="10230"/>
    <s v="2025-10-08"/>
    <s v="C9371"/>
    <x v="4"/>
    <x v="1"/>
    <n v="6"/>
    <n v="7000"/>
    <n v="8"/>
    <n v="0.08"/>
    <n v="38640"/>
    <x v="5"/>
    <x v="1"/>
    <x v="5"/>
    <x v="3"/>
    <x v="1"/>
    <x v="2"/>
    <s v="Q4"/>
  </r>
  <r>
    <n v="10231"/>
    <s v="2025-06-12"/>
    <s v="C1661"/>
    <x v="0"/>
    <x v="0"/>
    <n v="3"/>
    <n v="2000"/>
    <n v="7"/>
    <n v="7.0000000000000007E-2"/>
    <n v="5580"/>
    <x v="6"/>
    <x v="0"/>
    <x v="0"/>
    <x v="2"/>
    <x v="9"/>
    <x v="2"/>
    <s v="Q2"/>
  </r>
  <r>
    <n v="10232"/>
    <s v="2025-12-14"/>
    <s v="C6835"/>
    <x v="7"/>
    <x v="0"/>
    <n v="4"/>
    <n v="1200"/>
    <n v="19"/>
    <n v="0.19"/>
    <n v="3888"/>
    <x v="5"/>
    <x v="2"/>
    <x v="4"/>
    <x v="2"/>
    <x v="0"/>
    <x v="2"/>
    <s v="Q4"/>
  </r>
  <r>
    <n v="10233"/>
    <s v="2025-08-23"/>
    <s v="C5830"/>
    <x v="7"/>
    <x v="0"/>
    <n v="1"/>
    <n v="1200"/>
    <n v="19"/>
    <n v="0.19"/>
    <n v="972"/>
    <x v="4"/>
    <x v="1"/>
    <x v="3"/>
    <x v="3"/>
    <x v="2"/>
    <x v="2"/>
    <s v="Q3"/>
  </r>
  <r>
    <n v="10234"/>
    <s v="2025-04-30"/>
    <s v="C6169"/>
    <x v="0"/>
    <x v="0"/>
    <n v="5"/>
    <n v="2000"/>
    <n v="7"/>
    <n v="7.0000000000000007E-2"/>
    <n v="9300"/>
    <x v="0"/>
    <x v="2"/>
    <x v="4"/>
    <x v="0"/>
    <x v="10"/>
    <x v="2"/>
    <s v="Q2"/>
  </r>
  <r>
    <n v="10235"/>
    <s v="2025-12-01"/>
    <s v="C5560"/>
    <x v="0"/>
    <x v="0"/>
    <n v="4"/>
    <n v="2000"/>
    <n v="11"/>
    <n v="0.11"/>
    <n v="7120"/>
    <x v="4"/>
    <x v="4"/>
    <x v="3"/>
    <x v="0"/>
    <x v="0"/>
    <x v="2"/>
    <s v="Q4"/>
  </r>
  <r>
    <n v="10236"/>
    <s v="2025-09-08"/>
    <s v="C2166"/>
    <x v="7"/>
    <x v="0"/>
    <n v="6"/>
    <n v="1200"/>
    <n v="3"/>
    <n v="0.03"/>
    <n v="6984"/>
    <x v="7"/>
    <x v="4"/>
    <x v="4"/>
    <x v="1"/>
    <x v="4"/>
    <x v="2"/>
    <s v="Q3"/>
  </r>
  <r>
    <n v="10237"/>
    <s v="2025-04-15"/>
    <s v="C1637"/>
    <x v="5"/>
    <x v="0"/>
    <n v="8"/>
    <n v="500"/>
    <n v="11"/>
    <n v="0.11"/>
    <n v="3560"/>
    <x v="3"/>
    <x v="3"/>
    <x v="2"/>
    <x v="2"/>
    <x v="10"/>
    <x v="2"/>
    <s v="Q2"/>
  </r>
  <r>
    <n v="10238"/>
    <s v="2025-07-04"/>
    <s v="C1808"/>
    <x v="8"/>
    <x v="0"/>
    <n v="6"/>
    <n v="5000"/>
    <n v="0"/>
    <n v="0"/>
    <n v="30000"/>
    <x v="4"/>
    <x v="0"/>
    <x v="7"/>
    <x v="3"/>
    <x v="3"/>
    <x v="2"/>
    <s v="Q3"/>
  </r>
  <r>
    <n v="10239"/>
    <s v="2025-09-15"/>
    <s v="C5236"/>
    <x v="6"/>
    <x v="0"/>
    <n v="8"/>
    <n v="50000"/>
    <n v="20"/>
    <n v="0.2"/>
    <n v="320000"/>
    <x v="3"/>
    <x v="4"/>
    <x v="3"/>
    <x v="3"/>
    <x v="4"/>
    <x v="2"/>
    <s v="Q3"/>
  </r>
  <r>
    <n v="10240"/>
    <s v="2025-02-02"/>
    <s v="C5752"/>
    <x v="9"/>
    <x v="1"/>
    <n v="4"/>
    <n v="3000"/>
    <n v="6"/>
    <n v="0.06"/>
    <n v="11280"/>
    <x v="7"/>
    <x v="1"/>
    <x v="7"/>
    <x v="3"/>
    <x v="5"/>
    <x v="2"/>
    <s v="Q1"/>
  </r>
  <r>
    <n v="10241"/>
    <s v="2025-06-03"/>
    <s v="C6738"/>
    <x v="9"/>
    <x v="1"/>
    <n v="2"/>
    <n v="3000"/>
    <n v="16"/>
    <n v="0.16"/>
    <n v="5040"/>
    <x v="6"/>
    <x v="1"/>
    <x v="5"/>
    <x v="3"/>
    <x v="9"/>
    <x v="2"/>
    <s v="Q2"/>
  </r>
  <r>
    <n v="10242"/>
    <s v="2025-04-18"/>
    <s v="C8210"/>
    <x v="1"/>
    <x v="1"/>
    <n v="8"/>
    <n v="15000"/>
    <n v="6"/>
    <n v="0.06"/>
    <n v="112800"/>
    <x v="0"/>
    <x v="3"/>
    <x v="4"/>
    <x v="0"/>
    <x v="10"/>
    <x v="2"/>
    <s v="Q2"/>
  </r>
  <r>
    <n v="10243"/>
    <s v="2025-03-05"/>
    <s v="C9221"/>
    <x v="5"/>
    <x v="0"/>
    <n v="2"/>
    <n v="500"/>
    <n v="20"/>
    <n v="0.2"/>
    <n v="800"/>
    <x v="5"/>
    <x v="3"/>
    <x v="6"/>
    <x v="1"/>
    <x v="11"/>
    <x v="2"/>
    <s v="Q1"/>
  </r>
  <r>
    <n v="10244"/>
    <s v="2025-08-02"/>
    <s v="C7283"/>
    <x v="8"/>
    <x v="0"/>
    <n v="10"/>
    <n v="5000"/>
    <n v="5"/>
    <n v="0.05"/>
    <n v="47500"/>
    <x v="0"/>
    <x v="4"/>
    <x v="1"/>
    <x v="3"/>
    <x v="2"/>
    <x v="2"/>
    <s v="Q3"/>
  </r>
  <r>
    <n v="10245"/>
    <s v="2025-09-06"/>
    <s v="C9233"/>
    <x v="2"/>
    <x v="0"/>
    <n v="4"/>
    <n v="25000"/>
    <n v="4"/>
    <n v="0.04"/>
    <n v="96000"/>
    <x v="5"/>
    <x v="0"/>
    <x v="2"/>
    <x v="3"/>
    <x v="4"/>
    <x v="2"/>
    <s v="Q3"/>
  </r>
  <r>
    <n v="10246"/>
    <s v="2025-10-28"/>
    <s v="C7771"/>
    <x v="1"/>
    <x v="1"/>
    <n v="5"/>
    <n v="15000"/>
    <n v="15"/>
    <n v="0.15"/>
    <n v="63750"/>
    <x v="3"/>
    <x v="3"/>
    <x v="4"/>
    <x v="3"/>
    <x v="1"/>
    <x v="2"/>
    <s v="Q4"/>
  </r>
  <r>
    <n v="10247"/>
    <s v="2025-05-18"/>
    <s v="C6513"/>
    <x v="4"/>
    <x v="1"/>
    <n v="5"/>
    <n v="7000"/>
    <n v="5"/>
    <n v="0.05"/>
    <n v="33250"/>
    <x v="7"/>
    <x v="3"/>
    <x v="2"/>
    <x v="3"/>
    <x v="7"/>
    <x v="2"/>
    <s v="Q2"/>
  </r>
  <r>
    <n v="10248"/>
    <s v="2025-04-13"/>
    <s v="C7785"/>
    <x v="4"/>
    <x v="1"/>
    <n v="2"/>
    <n v="7000"/>
    <n v="20"/>
    <n v="0.2"/>
    <n v="11200"/>
    <x v="6"/>
    <x v="4"/>
    <x v="5"/>
    <x v="0"/>
    <x v="10"/>
    <x v="2"/>
    <s v="Q2"/>
  </r>
  <r>
    <n v="10249"/>
    <s v="2025-07-05"/>
    <s v="C7068"/>
    <x v="9"/>
    <x v="1"/>
    <n v="1"/>
    <n v="3000"/>
    <n v="19"/>
    <n v="0.19"/>
    <n v="2430"/>
    <x v="3"/>
    <x v="4"/>
    <x v="2"/>
    <x v="0"/>
    <x v="3"/>
    <x v="2"/>
    <s v="Q3"/>
  </r>
  <r>
    <n v="10250"/>
    <s v="2025-03-31"/>
    <s v="C7078"/>
    <x v="2"/>
    <x v="0"/>
    <n v="4"/>
    <n v="25000"/>
    <n v="6"/>
    <n v="0.06"/>
    <n v="94000"/>
    <x v="0"/>
    <x v="4"/>
    <x v="7"/>
    <x v="3"/>
    <x v="11"/>
    <x v="2"/>
    <s v="Q1"/>
  </r>
  <r>
    <n v="10251"/>
    <s v="2025-12-09"/>
    <s v="C8630"/>
    <x v="5"/>
    <x v="0"/>
    <n v="3"/>
    <n v="500"/>
    <n v="18"/>
    <n v="0.18"/>
    <n v="1230"/>
    <x v="4"/>
    <x v="4"/>
    <x v="7"/>
    <x v="3"/>
    <x v="0"/>
    <x v="2"/>
    <s v="Q4"/>
  </r>
  <r>
    <n v="10252"/>
    <s v="2025-01-25"/>
    <s v="C1808"/>
    <x v="0"/>
    <x v="0"/>
    <n v="8"/>
    <n v="2000"/>
    <n v="9"/>
    <n v="0.09"/>
    <n v="14560"/>
    <x v="2"/>
    <x v="0"/>
    <x v="5"/>
    <x v="1"/>
    <x v="8"/>
    <x v="2"/>
    <s v="Q1"/>
  </r>
  <r>
    <n v="10253"/>
    <s v="2025-07-03"/>
    <s v="C9651"/>
    <x v="8"/>
    <x v="0"/>
    <n v="7"/>
    <n v="5000"/>
    <n v="15"/>
    <n v="0.15"/>
    <n v="29750"/>
    <x v="3"/>
    <x v="4"/>
    <x v="6"/>
    <x v="3"/>
    <x v="3"/>
    <x v="2"/>
    <s v="Q3"/>
  </r>
  <r>
    <n v="10254"/>
    <s v="2025-07-05"/>
    <s v="C8714"/>
    <x v="3"/>
    <x v="0"/>
    <n v="9"/>
    <n v="8000"/>
    <n v="9"/>
    <n v="0.09"/>
    <n v="65520"/>
    <x v="3"/>
    <x v="3"/>
    <x v="6"/>
    <x v="3"/>
    <x v="3"/>
    <x v="2"/>
    <s v="Q3"/>
  </r>
  <r>
    <n v="10255"/>
    <s v="2025-10-16"/>
    <s v="C4268"/>
    <x v="3"/>
    <x v="0"/>
    <n v="10"/>
    <n v="8000"/>
    <n v="2"/>
    <n v="0.02"/>
    <n v="78400"/>
    <x v="6"/>
    <x v="0"/>
    <x v="6"/>
    <x v="1"/>
    <x v="1"/>
    <x v="2"/>
    <s v="Q4"/>
  </r>
  <r>
    <n v="10256"/>
    <s v="2025-02-06"/>
    <s v="C3372"/>
    <x v="6"/>
    <x v="0"/>
    <n v="3"/>
    <n v="50000"/>
    <n v="3"/>
    <n v="0.03"/>
    <n v="145500"/>
    <x v="7"/>
    <x v="4"/>
    <x v="7"/>
    <x v="1"/>
    <x v="5"/>
    <x v="2"/>
    <s v="Q1"/>
  </r>
  <r>
    <n v="10257"/>
    <s v="2025-11-10"/>
    <s v="C2529"/>
    <x v="6"/>
    <x v="0"/>
    <n v="7"/>
    <n v="50000"/>
    <n v="17"/>
    <n v="0.17"/>
    <n v="290500"/>
    <x v="2"/>
    <x v="3"/>
    <x v="7"/>
    <x v="0"/>
    <x v="6"/>
    <x v="2"/>
    <s v="Q4"/>
  </r>
  <r>
    <n v="10258"/>
    <s v="2025-09-15"/>
    <s v="C3590"/>
    <x v="3"/>
    <x v="0"/>
    <n v="6"/>
    <n v="8000"/>
    <n v="6"/>
    <n v="0.06"/>
    <n v="45120"/>
    <x v="0"/>
    <x v="3"/>
    <x v="2"/>
    <x v="1"/>
    <x v="4"/>
    <x v="2"/>
    <s v="Q3"/>
  </r>
  <r>
    <n v="10259"/>
    <s v="2025-04-09"/>
    <s v="C8485"/>
    <x v="5"/>
    <x v="0"/>
    <n v="8"/>
    <n v="500"/>
    <n v="5"/>
    <n v="0.05"/>
    <n v="3800"/>
    <x v="4"/>
    <x v="3"/>
    <x v="3"/>
    <x v="1"/>
    <x v="10"/>
    <x v="2"/>
    <s v="Q2"/>
  </r>
  <r>
    <n v="10260"/>
    <s v="2025-02-13"/>
    <s v="C6037"/>
    <x v="3"/>
    <x v="0"/>
    <n v="8"/>
    <n v="8000"/>
    <n v="2"/>
    <n v="0.02"/>
    <n v="62720"/>
    <x v="1"/>
    <x v="3"/>
    <x v="1"/>
    <x v="2"/>
    <x v="5"/>
    <x v="2"/>
    <s v="Q1"/>
  </r>
  <r>
    <n v="10261"/>
    <s v="2025-04-26"/>
    <s v="C2255"/>
    <x v="0"/>
    <x v="0"/>
    <n v="3"/>
    <n v="2000"/>
    <n v="18"/>
    <n v="0.18"/>
    <n v="4920"/>
    <x v="7"/>
    <x v="4"/>
    <x v="3"/>
    <x v="2"/>
    <x v="10"/>
    <x v="2"/>
    <s v="Q2"/>
  </r>
  <r>
    <n v="10262"/>
    <s v="2025-09-15"/>
    <s v="C3490"/>
    <x v="1"/>
    <x v="1"/>
    <n v="10"/>
    <n v="15000"/>
    <n v="8"/>
    <n v="0.08"/>
    <n v="138000"/>
    <x v="2"/>
    <x v="0"/>
    <x v="3"/>
    <x v="3"/>
    <x v="4"/>
    <x v="2"/>
    <s v="Q3"/>
  </r>
  <r>
    <n v="10263"/>
    <s v="2025-04-22"/>
    <s v="C5388"/>
    <x v="2"/>
    <x v="0"/>
    <n v="3"/>
    <n v="25000"/>
    <n v="16"/>
    <n v="0.16"/>
    <n v="63000"/>
    <x v="5"/>
    <x v="3"/>
    <x v="6"/>
    <x v="3"/>
    <x v="10"/>
    <x v="2"/>
    <s v="Q2"/>
  </r>
  <r>
    <n v="10264"/>
    <s v="2025-04-26"/>
    <s v="C2657"/>
    <x v="7"/>
    <x v="0"/>
    <n v="3"/>
    <n v="1200"/>
    <n v="10"/>
    <n v="0.1"/>
    <n v="3240"/>
    <x v="4"/>
    <x v="2"/>
    <x v="0"/>
    <x v="0"/>
    <x v="10"/>
    <x v="2"/>
    <s v="Q2"/>
  </r>
  <r>
    <n v="10265"/>
    <s v="2025-04-01"/>
    <s v="C5326"/>
    <x v="1"/>
    <x v="1"/>
    <n v="5"/>
    <n v="15000"/>
    <n v="5"/>
    <n v="0.05"/>
    <n v="71250"/>
    <x v="7"/>
    <x v="3"/>
    <x v="2"/>
    <x v="2"/>
    <x v="10"/>
    <x v="2"/>
    <s v="Q2"/>
  </r>
  <r>
    <n v="10266"/>
    <s v="2025-10-12"/>
    <s v="C7169"/>
    <x v="6"/>
    <x v="0"/>
    <n v="7"/>
    <n v="50000"/>
    <n v="2"/>
    <n v="0.02"/>
    <n v="343000"/>
    <x v="1"/>
    <x v="0"/>
    <x v="4"/>
    <x v="2"/>
    <x v="1"/>
    <x v="2"/>
    <s v="Q4"/>
  </r>
  <r>
    <n v="10267"/>
    <s v="2025-04-22"/>
    <s v="C2989"/>
    <x v="6"/>
    <x v="0"/>
    <n v="4"/>
    <n v="50000"/>
    <n v="7"/>
    <n v="7.0000000000000007E-2"/>
    <n v="186000"/>
    <x v="5"/>
    <x v="0"/>
    <x v="0"/>
    <x v="0"/>
    <x v="10"/>
    <x v="2"/>
    <s v="Q2"/>
  </r>
  <r>
    <n v="10268"/>
    <s v="2025-07-29"/>
    <s v="C2155"/>
    <x v="6"/>
    <x v="0"/>
    <n v="8"/>
    <n v="50000"/>
    <n v="9"/>
    <n v="0.09"/>
    <n v="364000"/>
    <x v="2"/>
    <x v="3"/>
    <x v="6"/>
    <x v="0"/>
    <x v="3"/>
    <x v="2"/>
    <s v="Q3"/>
  </r>
  <r>
    <n v="10269"/>
    <s v="2025-07-28"/>
    <s v="C9968"/>
    <x v="1"/>
    <x v="1"/>
    <n v="2"/>
    <n v="15000"/>
    <n v="3"/>
    <n v="0.03"/>
    <n v="29100"/>
    <x v="0"/>
    <x v="4"/>
    <x v="7"/>
    <x v="0"/>
    <x v="3"/>
    <x v="2"/>
    <s v="Q3"/>
  </r>
  <r>
    <n v="10270"/>
    <s v="2025-12-02"/>
    <s v="C3427"/>
    <x v="5"/>
    <x v="0"/>
    <n v="8"/>
    <n v="500"/>
    <n v="6"/>
    <n v="0.06"/>
    <n v="3760"/>
    <x v="0"/>
    <x v="3"/>
    <x v="5"/>
    <x v="2"/>
    <x v="0"/>
    <x v="2"/>
    <s v="Q4"/>
  </r>
  <r>
    <n v="10271"/>
    <s v="2025-04-13"/>
    <s v="C6776"/>
    <x v="9"/>
    <x v="1"/>
    <n v="4"/>
    <n v="3000"/>
    <n v="3"/>
    <n v="0.03"/>
    <n v="11640"/>
    <x v="1"/>
    <x v="1"/>
    <x v="7"/>
    <x v="0"/>
    <x v="10"/>
    <x v="2"/>
    <s v="Q2"/>
  </r>
  <r>
    <n v="10272"/>
    <s v="2025-11-17"/>
    <s v="C2419"/>
    <x v="8"/>
    <x v="0"/>
    <n v="3"/>
    <n v="5000"/>
    <n v="5"/>
    <n v="0.05"/>
    <n v="14250"/>
    <x v="5"/>
    <x v="2"/>
    <x v="3"/>
    <x v="1"/>
    <x v="6"/>
    <x v="2"/>
    <s v="Q4"/>
  </r>
  <r>
    <n v="10273"/>
    <s v="2025-04-09"/>
    <s v="C7584"/>
    <x v="4"/>
    <x v="1"/>
    <n v="2"/>
    <n v="7000"/>
    <n v="5"/>
    <n v="0.05"/>
    <n v="13300"/>
    <x v="6"/>
    <x v="3"/>
    <x v="5"/>
    <x v="3"/>
    <x v="10"/>
    <x v="2"/>
    <s v="Q2"/>
  </r>
  <r>
    <n v="10274"/>
    <s v="2025-11-05"/>
    <s v="C7876"/>
    <x v="7"/>
    <x v="0"/>
    <n v="2"/>
    <n v="1200"/>
    <n v="12"/>
    <n v="0.12"/>
    <n v="2112"/>
    <x v="1"/>
    <x v="0"/>
    <x v="1"/>
    <x v="2"/>
    <x v="6"/>
    <x v="2"/>
    <s v="Q4"/>
  </r>
  <r>
    <n v="10275"/>
    <s v="2025-11-22"/>
    <s v="C4729"/>
    <x v="7"/>
    <x v="0"/>
    <n v="7"/>
    <n v="1200"/>
    <n v="4"/>
    <n v="0.04"/>
    <n v="8064"/>
    <x v="7"/>
    <x v="2"/>
    <x v="5"/>
    <x v="3"/>
    <x v="6"/>
    <x v="2"/>
    <s v="Q4"/>
  </r>
  <r>
    <n v="10276"/>
    <s v="2025-07-25"/>
    <s v="C2110"/>
    <x v="8"/>
    <x v="0"/>
    <n v="6"/>
    <n v="5000"/>
    <n v="6"/>
    <n v="0.06"/>
    <n v="28200"/>
    <x v="2"/>
    <x v="2"/>
    <x v="2"/>
    <x v="2"/>
    <x v="3"/>
    <x v="2"/>
    <s v="Q3"/>
  </r>
  <r>
    <n v="10277"/>
    <s v="2025-10-21"/>
    <s v="C1081"/>
    <x v="6"/>
    <x v="0"/>
    <n v="9"/>
    <n v="50000"/>
    <n v="7"/>
    <n v="7.0000000000000007E-2"/>
    <n v="418500"/>
    <x v="0"/>
    <x v="3"/>
    <x v="4"/>
    <x v="1"/>
    <x v="1"/>
    <x v="2"/>
    <s v="Q4"/>
  </r>
  <r>
    <n v="10278"/>
    <s v="2025-12-01"/>
    <s v="C4200"/>
    <x v="4"/>
    <x v="1"/>
    <n v="10"/>
    <n v="7000"/>
    <n v="17"/>
    <n v="0.17"/>
    <n v="58100"/>
    <x v="1"/>
    <x v="4"/>
    <x v="2"/>
    <x v="2"/>
    <x v="0"/>
    <x v="2"/>
    <s v="Q4"/>
  </r>
  <r>
    <n v="10279"/>
    <s v="2025-08-10"/>
    <s v="C2794"/>
    <x v="1"/>
    <x v="1"/>
    <n v="9"/>
    <n v="15000"/>
    <n v="15"/>
    <n v="0.15"/>
    <n v="114750"/>
    <x v="7"/>
    <x v="1"/>
    <x v="6"/>
    <x v="1"/>
    <x v="2"/>
    <x v="2"/>
    <s v="Q3"/>
  </r>
  <r>
    <n v="10280"/>
    <s v="2025-07-14"/>
    <s v="C9786"/>
    <x v="8"/>
    <x v="0"/>
    <n v="10"/>
    <n v="5000"/>
    <n v="11"/>
    <n v="0.11"/>
    <n v="44500"/>
    <x v="3"/>
    <x v="1"/>
    <x v="7"/>
    <x v="3"/>
    <x v="3"/>
    <x v="2"/>
    <s v="Q3"/>
  </r>
  <r>
    <n v="10281"/>
    <s v="2025-07-17"/>
    <s v="C9225"/>
    <x v="3"/>
    <x v="0"/>
    <n v="1"/>
    <n v="8000"/>
    <n v="8"/>
    <n v="0.08"/>
    <n v="7360"/>
    <x v="7"/>
    <x v="4"/>
    <x v="7"/>
    <x v="0"/>
    <x v="3"/>
    <x v="2"/>
    <s v="Q3"/>
  </r>
  <r>
    <n v="10282"/>
    <s v="2025-02-06"/>
    <s v="C5601"/>
    <x v="2"/>
    <x v="0"/>
    <n v="4"/>
    <n v="25000"/>
    <n v="10"/>
    <n v="0.1"/>
    <n v="90000"/>
    <x v="4"/>
    <x v="3"/>
    <x v="2"/>
    <x v="0"/>
    <x v="5"/>
    <x v="2"/>
    <s v="Q1"/>
  </r>
  <r>
    <n v="10283"/>
    <s v="2025-02-17"/>
    <s v="C1501"/>
    <x v="0"/>
    <x v="0"/>
    <n v="9"/>
    <n v="2000"/>
    <n v="7"/>
    <n v="7.0000000000000007E-2"/>
    <n v="16740"/>
    <x v="3"/>
    <x v="1"/>
    <x v="5"/>
    <x v="3"/>
    <x v="5"/>
    <x v="2"/>
    <s v="Q1"/>
  </r>
  <r>
    <n v="10284"/>
    <s v="2025-01-19"/>
    <s v="C1261"/>
    <x v="4"/>
    <x v="1"/>
    <n v="6"/>
    <n v="7000"/>
    <n v="13"/>
    <n v="0.13"/>
    <n v="36540"/>
    <x v="4"/>
    <x v="3"/>
    <x v="7"/>
    <x v="2"/>
    <x v="8"/>
    <x v="2"/>
    <s v="Q1"/>
  </r>
  <r>
    <n v="10285"/>
    <s v="2025-09-10"/>
    <s v="C6949"/>
    <x v="3"/>
    <x v="0"/>
    <n v="8"/>
    <n v="8000"/>
    <n v="0"/>
    <n v="0"/>
    <n v="64000"/>
    <x v="7"/>
    <x v="4"/>
    <x v="2"/>
    <x v="1"/>
    <x v="4"/>
    <x v="2"/>
    <s v="Q3"/>
  </r>
  <r>
    <n v="10286"/>
    <s v="2025-11-07"/>
    <s v="C7729"/>
    <x v="9"/>
    <x v="1"/>
    <n v="3"/>
    <n v="3000"/>
    <n v="5"/>
    <n v="0.05"/>
    <n v="8550"/>
    <x v="7"/>
    <x v="2"/>
    <x v="1"/>
    <x v="0"/>
    <x v="6"/>
    <x v="2"/>
    <s v="Q4"/>
  </r>
  <r>
    <n v="10287"/>
    <s v="2025-07-24"/>
    <s v="C3698"/>
    <x v="6"/>
    <x v="0"/>
    <n v="1"/>
    <n v="50000"/>
    <n v="9"/>
    <n v="0.09"/>
    <n v="45500"/>
    <x v="4"/>
    <x v="3"/>
    <x v="3"/>
    <x v="0"/>
    <x v="3"/>
    <x v="2"/>
    <s v="Q3"/>
  </r>
  <r>
    <n v="10288"/>
    <s v="2025-05-22"/>
    <s v="C3904"/>
    <x v="3"/>
    <x v="0"/>
    <n v="4"/>
    <n v="8000"/>
    <n v="10"/>
    <n v="0.1"/>
    <n v="28800"/>
    <x v="3"/>
    <x v="3"/>
    <x v="0"/>
    <x v="0"/>
    <x v="7"/>
    <x v="2"/>
    <s v="Q2"/>
  </r>
  <r>
    <n v="10289"/>
    <s v="2025-02-05"/>
    <s v="C1437"/>
    <x v="3"/>
    <x v="0"/>
    <n v="1"/>
    <n v="8000"/>
    <n v="19"/>
    <n v="0.19"/>
    <n v="6480"/>
    <x v="7"/>
    <x v="3"/>
    <x v="3"/>
    <x v="0"/>
    <x v="5"/>
    <x v="2"/>
    <s v="Q1"/>
  </r>
  <r>
    <n v="10290"/>
    <s v="2025-07-11"/>
    <s v="C3845"/>
    <x v="9"/>
    <x v="1"/>
    <n v="6"/>
    <n v="3000"/>
    <n v="8"/>
    <n v="0.08"/>
    <n v="16560"/>
    <x v="6"/>
    <x v="1"/>
    <x v="3"/>
    <x v="2"/>
    <x v="3"/>
    <x v="2"/>
    <s v="Q3"/>
  </r>
  <r>
    <n v="10291"/>
    <s v="2025-12-26"/>
    <s v="C5429"/>
    <x v="4"/>
    <x v="1"/>
    <n v="5"/>
    <n v="7000"/>
    <n v="19"/>
    <n v="0.19"/>
    <n v="28350"/>
    <x v="3"/>
    <x v="2"/>
    <x v="5"/>
    <x v="3"/>
    <x v="0"/>
    <x v="2"/>
    <s v="Q4"/>
  </r>
  <r>
    <n v="10292"/>
    <s v="2025-06-26"/>
    <s v="C5432"/>
    <x v="3"/>
    <x v="0"/>
    <n v="8"/>
    <n v="8000"/>
    <n v="18"/>
    <n v="0.18"/>
    <n v="52480"/>
    <x v="7"/>
    <x v="2"/>
    <x v="5"/>
    <x v="3"/>
    <x v="9"/>
    <x v="2"/>
    <s v="Q2"/>
  </r>
  <r>
    <n v="10293"/>
    <s v="2025-05-05"/>
    <s v="C5071"/>
    <x v="6"/>
    <x v="0"/>
    <n v="9"/>
    <n v="50000"/>
    <n v="15"/>
    <n v="0.15"/>
    <n v="382500"/>
    <x v="2"/>
    <x v="2"/>
    <x v="7"/>
    <x v="1"/>
    <x v="7"/>
    <x v="2"/>
    <s v="Q2"/>
  </r>
  <r>
    <n v="10294"/>
    <s v="2025-06-21"/>
    <s v="C8484"/>
    <x v="4"/>
    <x v="1"/>
    <n v="6"/>
    <n v="7000"/>
    <n v="14"/>
    <n v="0.14000000000000001"/>
    <n v="36120"/>
    <x v="1"/>
    <x v="1"/>
    <x v="5"/>
    <x v="3"/>
    <x v="9"/>
    <x v="2"/>
    <s v="Q2"/>
  </r>
  <r>
    <n v="10295"/>
    <s v="2025-12-14"/>
    <s v="C7647"/>
    <x v="5"/>
    <x v="0"/>
    <n v="5"/>
    <n v="500"/>
    <n v="0"/>
    <n v="0"/>
    <n v="2500"/>
    <x v="4"/>
    <x v="0"/>
    <x v="0"/>
    <x v="0"/>
    <x v="0"/>
    <x v="2"/>
    <s v="Q4"/>
  </r>
  <r>
    <n v="10296"/>
    <s v="2025-10-11"/>
    <s v="C6266"/>
    <x v="1"/>
    <x v="1"/>
    <n v="1"/>
    <n v="15000"/>
    <n v="9"/>
    <n v="0.09"/>
    <n v="13650"/>
    <x v="1"/>
    <x v="2"/>
    <x v="7"/>
    <x v="1"/>
    <x v="1"/>
    <x v="2"/>
    <s v="Q4"/>
  </r>
  <r>
    <n v="10297"/>
    <s v="2025-06-07"/>
    <s v="C7612"/>
    <x v="7"/>
    <x v="0"/>
    <n v="4"/>
    <n v="1200"/>
    <n v="13"/>
    <n v="0.13"/>
    <n v="4176"/>
    <x v="1"/>
    <x v="2"/>
    <x v="6"/>
    <x v="2"/>
    <x v="9"/>
    <x v="2"/>
    <s v="Q2"/>
  </r>
  <r>
    <n v="10298"/>
    <s v="2025-09-27"/>
    <s v="C5057"/>
    <x v="4"/>
    <x v="1"/>
    <n v="10"/>
    <n v="7000"/>
    <n v="13"/>
    <n v="0.13"/>
    <n v="60900"/>
    <x v="3"/>
    <x v="4"/>
    <x v="6"/>
    <x v="0"/>
    <x v="4"/>
    <x v="2"/>
    <s v="Q3"/>
  </r>
  <r>
    <n v="10299"/>
    <s v="2025-08-30"/>
    <s v="C4149"/>
    <x v="0"/>
    <x v="0"/>
    <n v="6"/>
    <n v="2000"/>
    <n v="6"/>
    <n v="0.06"/>
    <n v="11280"/>
    <x v="0"/>
    <x v="3"/>
    <x v="6"/>
    <x v="3"/>
    <x v="2"/>
    <x v="2"/>
    <s v="Q3"/>
  </r>
  <r>
    <n v="10300"/>
    <s v="2025-11-15"/>
    <s v="C4997"/>
    <x v="3"/>
    <x v="0"/>
    <n v="6"/>
    <n v="8000"/>
    <n v="19"/>
    <n v="0.19"/>
    <n v="38880"/>
    <x v="5"/>
    <x v="4"/>
    <x v="3"/>
    <x v="3"/>
    <x v="6"/>
    <x v="2"/>
    <s v="Q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254FB8-29A0-430E-BED5-3191656EBFAC}" name="city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5:E44" firstHeaderRow="1" firstDataRow="1" firstDataCol="1"/>
  <pivotFields count="17">
    <pivotField showAll="0"/>
    <pivotField showAll="0"/>
    <pivotField showAll="0"/>
    <pivotField showAll="0"/>
    <pivotField showAll="0">
      <items count="3">
        <item x="0"/>
        <item x="1"/>
        <item t="default"/>
      </items>
    </pivotField>
    <pivotField showAll="0"/>
    <pivotField numFmtId="164" showAll="0"/>
    <pivotField showAll="0"/>
    <pivotField numFmtId="9" showAll="0"/>
    <pivotField dataField="1" numFmtId="164" showAll="0"/>
    <pivotField axis="axisRow" showAll="0">
      <items count="9">
        <item x="1"/>
        <item x="5"/>
        <item x="3"/>
        <item x="2"/>
        <item x="4"/>
        <item x="7"/>
        <item x="6"/>
        <item x="0"/>
        <item t="default"/>
      </items>
    </pivotField>
    <pivotField showAll="0"/>
    <pivotField showAll="0"/>
    <pivotField showAll="0">
      <items count="5">
        <item x="1"/>
        <item x="0"/>
        <item x="3"/>
        <item x="2"/>
        <item t="default"/>
      </items>
    </pivotField>
    <pivotField showAll="0"/>
    <pivotField showAll="0">
      <items count="4">
        <item x="0"/>
        <item x="1"/>
        <item x="2"/>
        <item t="default"/>
      </items>
    </pivotField>
    <pivotField showAll="0"/>
  </pivotFields>
  <rowFields count="1">
    <field x="10"/>
  </rowFields>
  <rowItems count="9">
    <i>
      <x/>
    </i>
    <i>
      <x v="1"/>
    </i>
    <i>
      <x v="2"/>
    </i>
    <i>
      <x v="3"/>
    </i>
    <i>
      <x v="4"/>
    </i>
    <i>
      <x v="5"/>
    </i>
    <i>
      <x v="6"/>
    </i>
    <i>
      <x v="7"/>
    </i>
    <i t="grand">
      <x/>
    </i>
  </rowItems>
  <colItems count="1">
    <i/>
  </colItems>
  <dataFields count="1">
    <dataField name="Sum of Sales" fld="9"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5CE594-2A48-4655-BD49-F1791C1F7295}" name="category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6:E29" firstHeaderRow="1" firstDataRow="1" firstDataCol="1"/>
  <pivotFields count="17">
    <pivotField showAll="0"/>
    <pivotField showAll="0"/>
    <pivotField showAll="0"/>
    <pivotField showAll="0"/>
    <pivotField axis="axisRow" showAll="0">
      <items count="3">
        <item x="0"/>
        <item x="1"/>
        <item t="default"/>
      </items>
    </pivotField>
    <pivotField showAll="0"/>
    <pivotField numFmtId="164" showAll="0"/>
    <pivotField showAll="0"/>
    <pivotField numFmtId="9" showAll="0"/>
    <pivotField dataField="1" numFmtId="164" showAll="0"/>
    <pivotField showAll="0">
      <items count="9">
        <item x="1"/>
        <item x="5"/>
        <item x="3"/>
        <item x="2"/>
        <item x="4"/>
        <item x="7"/>
        <item x="6"/>
        <item x="0"/>
        <item t="default"/>
      </items>
    </pivotField>
    <pivotField showAll="0"/>
    <pivotField showAll="0"/>
    <pivotField showAll="0">
      <items count="5">
        <item x="1"/>
        <item x="0"/>
        <item x="3"/>
        <item x="2"/>
        <item t="default"/>
      </items>
    </pivotField>
    <pivotField showAll="0"/>
    <pivotField showAll="0">
      <items count="4">
        <item x="0"/>
        <item x="1"/>
        <item x="2"/>
        <item t="default"/>
      </items>
    </pivotField>
    <pivotField showAll="0"/>
  </pivotFields>
  <rowFields count="1">
    <field x="4"/>
  </rowFields>
  <rowItems count="3">
    <i>
      <x/>
    </i>
    <i>
      <x v="1"/>
    </i>
    <i t="grand">
      <x/>
    </i>
  </rowItems>
  <colItems count="1">
    <i/>
  </colItems>
  <dataFields count="1">
    <dataField name="Sum of Sales" fld="9" baseField="0" baseItem="0" numFmtId="164"/>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4" count="1" selected="0">
            <x v="0"/>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64BF48-B440-4558-BF86-74A450971CA6}" name="top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0:E21" firstHeaderRow="1" firstDataRow="1" firstDataCol="1"/>
  <pivotFields count="17">
    <pivotField showAll="0"/>
    <pivotField showAll="0"/>
    <pivotField showAll="0"/>
    <pivotField axis="axisRow" showAll="0" sortType="descending">
      <items count="11">
        <item x="9"/>
        <item x="0"/>
        <item x="7"/>
        <item x="6"/>
        <item x="5"/>
        <item x="2"/>
        <item x="3"/>
        <item x="8"/>
        <item x="1"/>
        <item x="4"/>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numFmtId="164" showAll="0"/>
    <pivotField showAll="0"/>
    <pivotField numFmtId="9" showAll="0"/>
    <pivotField dataField="1" numFmtId="164" showAll="0"/>
    <pivotField showAll="0">
      <items count="9">
        <item x="1"/>
        <item x="5"/>
        <item x="3"/>
        <item x="2"/>
        <item x="4"/>
        <item x="7"/>
        <item x="6"/>
        <item x="0"/>
        <item t="default"/>
      </items>
    </pivotField>
    <pivotField showAll="0"/>
    <pivotField showAll="0"/>
    <pivotField showAll="0">
      <items count="5">
        <item x="1"/>
        <item x="0"/>
        <item x="3"/>
        <item x="2"/>
        <item t="default"/>
      </items>
    </pivotField>
    <pivotField showAll="0"/>
    <pivotField showAll="0">
      <items count="4">
        <item x="0"/>
        <item x="1"/>
        <item x="2"/>
        <item t="default"/>
      </items>
    </pivotField>
    <pivotField showAll="0"/>
  </pivotFields>
  <rowFields count="1">
    <field x="3"/>
  </rowFields>
  <rowItems count="11">
    <i>
      <x v="3"/>
    </i>
    <i>
      <x v="5"/>
    </i>
    <i>
      <x v="8"/>
    </i>
    <i>
      <x v="6"/>
    </i>
    <i>
      <x v="9"/>
    </i>
    <i>
      <x v="7"/>
    </i>
    <i>
      <x v="1"/>
    </i>
    <i>
      <x/>
    </i>
    <i>
      <x v="2"/>
    </i>
    <i>
      <x v="4"/>
    </i>
    <i t="grand">
      <x/>
    </i>
  </rowItems>
  <colItems count="1">
    <i/>
  </colItems>
  <dataFields count="1">
    <dataField name="Sum of Sales" fld="9" baseField="0" baseItem="0" numFmtId="164"/>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6ECDC8-FAC4-4A6D-BD72-06B016535F81}" name="salesperson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4:H43" firstHeaderRow="1" firstDataRow="1" firstDataCol="1"/>
  <pivotFields count="17">
    <pivotField showAll="0"/>
    <pivotField showAll="0"/>
    <pivotField showAll="0"/>
    <pivotField showAll="0"/>
    <pivotField showAll="0">
      <items count="3">
        <item x="0"/>
        <item x="1"/>
        <item t="default"/>
      </items>
    </pivotField>
    <pivotField showAll="0"/>
    <pivotField numFmtId="164" showAll="0"/>
    <pivotField showAll="0"/>
    <pivotField numFmtId="9" showAll="0"/>
    <pivotField dataField="1" numFmtId="164" showAll="0"/>
    <pivotField showAll="0">
      <items count="9">
        <item x="1"/>
        <item x="5"/>
        <item x="3"/>
        <item x="2"/>
        <item x="4"/>
        <item x="7"/>
        <item x="6"/>
        <item x="0"/>
        <item t="default"/>
      </items>
    </pivotField>
    <pivotField showAll="0"/>
    <pivotField axis="axisRow" showAll="0">
      <items count="9">
        <item x="0"/>
        <item x="5"/>
        <item x="7"/>
        <item x="3"/>
        <item x="4"/>
        <item x="2"/>
        <item x="6"/>
        <item x="1"/>
        <item t="default"/>
      </items>
    </pivotField>
    <pivotField showAll="0">
      <items count="5">
        <item x="1"/>
        <item x="0"/>
        <item x="3"/>
        <item x="2"/>
        <item t="default"/>
      </items>
    </pivotField>
    <pivotField showAll="0"/>
    <pivotField showAll="0">
      <items count="4">
        <item x="0"/>
        <item x="1"/>
        <item x="2"/>
        <item t="default"/>
      </items>
    </pivotField>
    <pivotField showAll="0"/>
  </pivotFields>
  <rowFields count="1">
    <field x="12"/>
  </rowFields>
  <rowItems count="9">
    <i>
      <x/>
    </i>
    <i>
      <x v="1"/>
    </i>
    <i>
      <x v="2"/>
    </i>
    <i>
      <x v="3"/>
    </i>
    <i>
      <x v="4"/>
    </i>
    <i>
      <x v="5"/>
    </i>
    <i>
      <x v="6"/>
    </i>
    <i>
      <x v="7"/>
    </i>
    <i t="grand">
      <x/>
    </i>
  </rowItems>
  <colItems count="1">
    <i/>
  </colItems>
  <dataFields count="1">
    <dataField name="Sum of Sales" fld="9"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812EE7-F1B4-49E7-9D3A-F6ABB23727F0}" name="payment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G25:H31" firstHeaderRow="1" firstDataRow="1" firstDataCol="1"/>
  <pivotFields count="17">
    <pivotField dataField="1" showAll="0"/>
    <pivotField showAll="0"/>
    <pivotField showAll="0"/>
    <pivotField showAll="0"/>
    <pivotField showAll="0">
      <items count="3">
        <item x="0"/>
        <item x="1"/>
        <item t="default"/>
      </items>
    </pivotField>
    <pivotField showAll="0"/>
    <pivotField numFmtId="164" showAll="0"/>
    <pivotField showAll="0"/>
    <pivotField numFmtId="9" showAll="0"/>
    <pivotField numFmtId="164" showAll="0"/>
    <pivotField showAll="0">
      <items count="9">
        <item x="1"/>
        <item x="5"/>
        <item x="3"/>
        <item x="2"/>
        <item x="4"/>
        <item x="7"/>
        <item x="6"/>
        <item x="0"/>
        <item t="default"/>
      </items>
    </pivotField>
    <pivotField axis="axisRow" showAll="0">
      <items count="6">
        <item x="2"/>
        <item x="3"/>
        <item x="1"/>
        <item x="0"/>
        <item x="4"/>
        <item t="default"/>
      </items>
    </pivotField>
    <pivotField showAll="0"/>
    <pivotField showAll="0">
      <items count="5">
        <item x="1"/>
        <item x="0"/>
        <item x="3"/>
        <item x="2"/>
        <item t="default"/>
      </items>
    </pivotField>
    <pivotField showAll="0"/>
    <pivotField showAll="0">
      <items count="4">
        <item x="0"/>
        <item x="1"/>
        <item x="2"/>
        <item t="default"/>
      </items>
    </pivotField>
    <pivotField showAll="0"/>
  </pivotFields>
  <rowFields count="1">
    <field x="11"/>
  </rowFields>
  <rowItems count="6">
    <i>
      <x/>
    </i>
    <i>
      <x v="1"/>
    </i>
    <i>
      <x v="2"/>
    </i>
    <i>
      <x v="3"/>
    </i>
    <i>
      <x v="4"/>
    </i>
    <i t="grand">
      <x/>
    </i>
  </rowItems>
  <colItems count="1">
    <i/>
  </colItems>
  <dataFields count="1">
    <dataField name="Count of Order_ID" fld="0" subtotal="count" baseField="11" baseItem="0"/>
  </dataFields>
  <chartFormats count="6">
    <chartFormat chart="22" format="7" series="1">
      <pivotArea type="data" outline="0" fieldPosition="0">
        <references count="1">
          <reference field="4294967294" count="1" selected="0">
            <x v="0"/>
          </reference>
        </references>
      </pivotArea>
    </chartFormat>
    <chartFormat chart="22" format="8">
      <pivotArea type="data" outline="0" fieldPosition="0">
        <references count="2">
          <reference field="4294967294" count="1" selected="0">
            <x v="0"/>
          </reference>
          <reference field="11" count="1" selected="0">
            <x v="0"/>
          </reference>
        </references>
      </pivotArea>
    </chartFormat>
    <chartFormat chart="22" format="9">
      <pivotArea type="data" outline="0" fieldPosition="0">
        <references count="2">
          <reference field="4294967294" count="1" selected="0">
            <x v="0"/>
          </reference>
          <reference field="11" count="1" selected="0">
            <x v="1"/>
          </reference>
        </references>
      </pivotArea>
    </chartFormat>
    <chartFormat chart="22" format="10">
      <pivotArea type="data" outline="0" fieldPosition="0">
        <references count="2">
          <reference field="4294967294" count="1" selected="0">
            <x v="0"/>
          </reference>
          <reference field="11" count="1" selected="0">
            <x v="2"/>
          </reference>
        </references>
      </pivotArea>
    </chartFormat>
    <chartFormat chart="22" format="11">
      <pivotArea type="data" outline="0" fieldPosition="0">
        <references count="2">
          <reference field="4294967294" count="1" selected="0">
            <x v="0"/>
          </reference>
          <reference field="11" count="1" selected="0">
            <x v="3"/>
          </reference>
        </references>
      </pivotArea>
    </chartFormat>
    <chartFormat chart="22" format="12">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FA6CB0-FF35-4F00-AD81-F6AA513209C0}" name="sales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B50" firstHeaderRow="1" firstDataRow="1" firstDataCol="1"/>
  <pivotFields count="17">
    <pivotField showAll="0"/>
    <pivotField showAll="0"/>
    <pivotField showAll="0"/>
    <pivotField showAll="0"/>
    <pivotField showAll="0">
      <items count="3">
        <item x="0"/>
        <item x="1"/>
        <item t="default"/>
      </items>
    </pivotField>
    <pivotField showAll="0"/>
    <pivotField numFmtId="164" showAll="0"/>
    <pivotField showAll="0"/>
    <pivotField numFmtId="9" showAll="0"/>
    <pivotField dataField="1" numFmtId="164" showAll="0"/>
    <pivotField showAll="0">
      <items count="9">
        <item x="1"/>
        <item x="5"/>
        <item x="3"/>
        <item x="2"/>
        <item x="4"/>
        <item x="7"/>
        <item x="6"/>
        <item x="0"/>
        <item t="default"/>
      </items>
    </pivotField>
    <pivotField showAll="0"/>
    <pivotField showAll="0"/>
    <pivotField showAll="0">
      <items count="5">
        <item x="1"/>
        <item x="0"/>
        <item x="3"/>
        <item x="2"/>
        <item t="default"/>
      </items>
    </pivotField>
    <pivotField axis="axisRow" showAll="0">
      <items count="13">
        <item x="8"/>
        <item x="5"/>
        <item x="11"/>
        <item x="10"/>
        <item x="7"/>
        <item x="9"/>
        <item x="3"/>
        <item x="2"/>
        <item x="4"/>
        <item x="1"/>
        <item x="6"/>
        <item x="0"/>
        <item t="default"/>
      </items>
    </pivotField>
    <pivotField axis="axisRow" showAll="0">
      <items count="4">
        <item x="0"/>
        <item x="1"/>
        <item x="2"/>
        <item t="default"/>
      </items>
    </pivotField>
    <pivotField showAll="0"/>
  </pivotFields>
  <rowFields count="2">
    <field x="15"/>
    <field x="14"/>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Items count="1">
    <i/>
  </colItems>
  <dataFields count="1">
    <dataField name="Sum of Sales" fld="9"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B97E875-685D-47C2-8F6D-173498CE769D}" name="region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9:H14" firstHeaderRow="1" firstDataRow="1" firstDataCol="1"/>
  <pivotFields count="17">
    <pivotField showAll="0"/>
    <pivotField showAll="0"/>
    <pivotField showAll="0"/>
    <pivotField showAll="0"/>
    <pivotField showAll="0">
      <items count="3">
        <item x="0"/>
        <item x="1"/>
        <item t="default"/>
      </items>
    </pivotField>
    <pivotField showAll="0"/>
    <pivotField numFmtId="164" showAll="0"/>
    <pivotField showAll="0"/>
    <pivotField numFmtId="9" showAll="0"/>
    <pivotField dataField="1" numFmtId="164" showAll="0"/>
    <pivotField showAll="0">
      <items count="9">
        <item x="1"/>
        <item x="5"/>
        <item x="3"/>
        <item x="2"/>
        <item x="4"/>
        <item x="7"/>
        <item x="6"/>
        <item x="0"/>
        <item t="default"/>
      </items>
    </pivotField>
    <pivotField showAll="0"/>
    <pivotField showAll="0"/>
    <pivotField axis="axisRow" showAll="0">
      <items count="5">
        <item x="1"/>
        <item x="0"/>
        <item x="3"/>
        <item x="2"/>
        <item t="default"/>
      </items>
    </pivotField>
    <pivotField showAll="0"/>
    <pivotField showAll="0">
      <items count="4">
        <item x="0"/>
        <item x="1"/>
        <item x="2"/>
        <item t="default"/>
      </items>
    </pivotField>
    <pivotField showAll="0"/>
  </pivotFields>
  <rowFields count="1">
    <field x="13"/>
  </rowFields>
  <rowItems count="5">
    <i>
      <x/>
    </i>
    <i>
      <x v="1"/>
    </i>
    <i>
      <x v="2"/>
    </i>
    <i>
      <x v="3"/>
    </i>
    <i t="grand">
      <x/>
    </i>
  </rowItems>
  <colItems count="1">
    <i/>
  </colItems>
  <dataFields count="1">
    <dataField name="Sum of Sales" fld="9"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8E575DE-A025-4935-91FF-2E0CA893A9D7}" sourceName="Category">
  <pivotTables>
    <pivotTable tabId="2" name="topproducts"/>
    <pivotTable tabId="2" name="categoryanalysis"/>
    <pivotTable tabId="2" name="cityanalysis"/>
    <pivotTable tabId="2" name="paymentanalysis"/>
    <pivotTable tabId="2" name="regionanalysis"/>
    <pivotTable tabId="2" name="salespersonanalysis"/>
    <pivotTable tabId="2" name="salestrend"/>
  </pivotTables>
  <data>
    <tabular pivotCacheId="40812683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6C5E24F-DCBB-4AE7-A925-29DF5A2A9283}" sourceName="City">
  <pivotTables>
    <pivotTable tabId="2" name="topproducts"/>
    <pivotTable tabId="2" name="categoryanalysis"/>
    <pivotTable tabId="2" name="cityanalysis"/>
    <pivotTable tabId="2" name="paymentanalysis"/>
    <pivotTable tabId="2" name="regionanalysis"/>
    <pivotTable tabId="2" name="salespersonanalysis"/>
    <pivotTable tabId="2" name="salestrend"/>
  </pivotTables>
  <data>
    <tabular pivotCacheId="408126835">
      <items count="8">
        <i x="1" s="1"/>
        <i x="5" s="1"/>
        <i x="3" s="1"/>
        <i x="2" s="1"/>
        <i x="4" s="1"/>
        <i x="7" s="1"/>
        <i x="6"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E700F0-D242-4DD8-975D-5683EF827D2E}" sourceName="Region">
  <pivotTables>
    <pivotTable tabId="2" name="topproducts"/>
    <pivotTable tabId="2" name="categoryanalysis"/>
    <pivotTable tabId="2" name="cityanalysis"/>
    <pivotTable tabId="2" name="paymentanalysis"/>
    <pivotTable tabId="2" name="regionanalysis"/>
    <pivotTable tabId="2" name="salespersonanalysis"/>
    <pivotTable tabId="2" name="salestrend"/>
  </pivotTables>
  <data>
    <tabular pivotCacheId="408126835">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99271AF-06BA-448B-9290-DDA825A76688}" sourceName="Year">
  <pivotTables>
    <pivotTable tabId="2" name="topproducts"/>
    <pivotTable tabId="2" name="categoryanalysis"/>
    <pivotTable tabId="2" name="cityanalysis"/>
    <pivotTable tabId="2" name="paymentanalysis"/>
    <pivotTable tabId="2" name="regionanalysis"/>
    <pivotTable tabId="2" name="salespersonanalysis"/>
    <pivotTable tabId="2" name="salestrend"/>
  </pivotTables>
  <data>
    <tabular pivotCacheId="40812683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3EB3D96-DD9C-4925-82AE-86FC6F791A2E}" cache="Slicer_Category" caption="Category" rowHeight="234950"/>
  <slicer name="City" xr10:uid="{2129FF55-9E8F-4956-AC22-E1B04D604679}" cache="Slicer_City" caption="City" rowHeight="234950"/>
  <slicer name="Region" xr10:uid="{D06E790F-33B5-47FE-BD71-3926203C57F7}" cache="Slicer_Region" caption="Region" rowHeight="234950"/>
  <slicer name="Year" xr10:uid="{94287FE2-E614-4093-B1EC-5E0573535B54}"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03897FD-83F9-4B95-B744-B559F81BE11C}" cache="Slicer_Category" caption="Category" style="Slicer Style 2" rowHeight="972000"/>
  <slicer name="City 1" xr10:uid="{7D8447BC-77CA-4E15-8F77-D659545DD550}" cache="Slicer_City" caption="City" style="Slicer Style 2" rowHeight="684000"/>
  <slicer name="Region 1" xr10:uid="{C0EEE8D7-2F1D-4F5E-B996-3E6863012D6E}" cache="Slicer_Region" caption="Region" style="Slicer Style 2" rowHeight="864000"/>
  <slicer name="Year 1" xr10:uid="{D70331C3-AA94-4796-ADA3-66ED9B8E0A41}" cache="Slicer_Year" caption="Year" style="Slicer Style 2" rowHeight="82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237F34-C5F3-4FA6-A83C-7FAD84F82944}" name="salesdata" displayName="salesdata" ref="A1:Q301" totalsRowShown="0" headerRowDxfId="20" dataDxfId="19">
  <autoFilter ref="A1:Q301" xr:uid="{21237F34-C5F3-4FA6-A83C-7FAD84F82944}"/>
  <tableColumns count="17">
    <tableColumn id="1" xr3:uid="{F2679E0C-E268-4DE9-BFA7-827E8C69B2AC}" name="Order_ID" dataDxfId="18"/>
    <tableColumn id="2" xr3:uid="{6DF3A8B8-5AA6-462E-AD64-1EDD2BA2D9DD}" name="Order_Date" dataDxfId="17"/>
    <tableColumn id="3" xr3:uid="{FBF5AB2C-9155-4E33-9946-47E6C8BB6A6F}" name="Customer_ID" dataDxfId="16"/>
    <tableColumn id="5" xr3:uid="{CAEA8A76-A185-4BB0-B857-72965CC1B2FD}" name="Product" dataDxfId="15"/>
    <tableColumn id="6" xr3:uid="{4E9DA1FA-951E-40BC-BC15-8B60FA1AEBEC}" name="Category" dataDxfId="14"/>
    <tableColumn id="7" xr3:uid="{B36F8BB5-6B08-4D5B-B02F-44ABB5B999B2}" name="Quantity" dataDxfId="13"/>
    <tableColumn id="8" xr3:uid="{542A7374-DF12-4691-A45C-A28A2EA37674}" name="Unit_Price" dataDxfId="12"/>
    <tableColumn id="9" xr3:uid="{7B9DC423-2657-4CF4-A2F9-C01242D0A849}" name="Discount" dataDxfId="11" dataCellStyle="Percent"/>
    <tableColumn id="15" xr3:uid="{3EC83187-99A8-41F0-B81F-8CCD1485C641}" name="Discount2" dataDxfId="10" dataCellStyle="Percent">
      <calculatedColumnFormula>(salesdata[[#This Row],[Discount]]/100)</calculatedColumnFormula>
    </tableColumn>
    <tableColumn id="16" xr3:uid="{A7744A55-6E8B-4F19-95AF-1510704127BE}" name="Sales" dataDxfId="9"/>
    <tableColumn id="17" xr3:uid="{F8B4E6D4-22EB-4228-ADE5-4AD37C9964B1}" name="City" dataDxfId="8"/>
    <tableColumn id="18" xr3:uid="{243F45CE-D352-4983-A0BC-772DCDDDD60C}" name="Payment_Mode" dataDxfId="7"/>
    <tableColumn id="19" xr3:uid="{2336360D-80E9-4293-B9B2-CB78AD727564}" name="Salesperson" dataDxfId="6"/>
    <tableColumn id="20" xr3:uid="{5DC7A859-BDDE-487C-BF07-0ADCC2266212}" name="Region" dataDxfId="5"/>
    <tableColumn id="21" xr3:uid="{B8FE704E-0C4C-4607-92D2-D44F2D899242}" name="Month" dataDxfId="4">
      <calculatedColumnFormula>TEXT(salesdata[[#This Row],[Order_Date]],"mmm")</calculatedColumnFormula>
    </tableColumn>
    <tableColumn id="22" xr3:uid="{F9A1CEE3-5AF5-4C95-8D8F-FAF5F9A416A2}" name="Year" dataDxfId="3">
      <calculatedColumnFormula>YEAR(salesdata[[#This Row],[Order_Date]])</calculatedColumnFormula>
    </tableColumn>
    <tableColumn id="23" xr3:uid="{2C17A503-9D6E-413E-A742-3FD05E2FE763}" name="Quarter" dataDxfId="2">
      <calculatedColumnFormula>"Q"&amp;ROUNDUP(MONTH(B2)/3,0)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D0A4-DEEE-4EEF-9257-7C2DA19B2620}">
  <sheetPr codeName="Sheet1"/>
  <dimension ref="A1:Q301"/>
  <sheetViews>
    <sheetView workbookViewId="0">
      <selection activeCell="D4" sqref="D4"/>
    </sheetView>
  </sheetViews>
  <sheetFormatPr defaultRowHeight="14.4" x14ac:dyDescent="0.3"/>
  <cols>
    <col min="1" max="1" width="13.6640625" bestFit="1" customWidth="1"/>
    <col min="2" max="2" width="16" bestFit="1" customWidth="1"/>
    <col min="3" max="3" width="17.33203125" bestFit="1" customWidth="1"/>
    <col min="4" max="4" width="12.6640625" bestFit="1" customWidth="1"/>
    <col min="5" max="5" width="13.6640625" bestFit="1" customWidth="1"/>
    <col min="6" max="6" width="13.109375" bestFit="1" customWidth="1"/>
    <col min="7" max="7" width="15.77734375" bestFit="1" customWidth="1"/>
    <col min="8" max="8" width="13.5546875" bestFit="1" customWidth="1"/>
    <col min="9" max="9" width="14.6640625" bestFit="1" customWidth="1"/>
    <col min="10" max="10" width="11.21875" bestFit="1" customWidth="1"/>
    <col min="11" max="11" width="14.88671875" bestFit="1" customWidth="1"/>
    <col min="12" max="12" width="19.5546875" bestFit="1" customWidth="1"/>
    <col min="13" max="13" width="16.77734375" bestFit="1" customWidth="1"/>
    <col min="14" max="14" width="11.5546875" bestFit="1" customWidth="1"/>
    <col min="15" max="15" width="11.109375" bestFit="1" customWidth="1"/>
    <col min="16" max="16" width="9.6640625" bestFit="1" customWidth="1"/>
    <col min="17" max="17" width="12.44140625" bestFit="1" customWidth="1"/>
    <col min="18" max="18" width="16.77734375" bestFit="1" customWidth="1"/>
    <col min="19" max="19" width="11.5546875" bestFit="1" customWidth="1"/>
  </cols>
  <sheetData>
    <row r="1" spans="1:17" x14ac:dyDescent="0.3">
      <c r="A1" s="1" t="s">
        <v>0</v>
      </c>
      <c r="B1" s="1" t="s">
        <v>1</v>
      </c>
      <c r="C1" s="1" t="s">
        <v>2</v>
      </c>
      <c r="D1" s="1" t="s">
        <v>3</v>
      </c>
      <c r="E1" s="1" t="s">
        <v>4</v>
      </c>
      <c r="F1" s="1" t="s">
        <v>5</v>
      </c>
      <c r="G1" s="7" t="s">
        <v>6</v>
      </c>
      <c r="H1" s="3" t="s">
        <v>78</v>
      </c>
      <c r="I1" s="2" t="s">
        <v>603</v>
      </c>
      <c r="J1" s="6" t="s">
        <v>7</v>
      </c>
      <c r="K1" s="6" t="s">
        <v>8</v>
      </c>
      <c r="L1" s="6" t="s">
        <v>9</v>
      </c>
      <c r="M1" s="6" t="s">
        <v>10</v>
      </c>
      <c r="N1" s="6" t="s">
        <v>11</v>
      </c>
      <c r="O1" s="1" t="s">
        <v>76</v>
      </c>
      <c r="P1" s="1" t="s">
        <v>77</v>
      </c>
      <c r="Q1" s="1" t="s">
        <v>604</v>
      </c>
    </row>
    <row r="2" spans="1:17" x14ac:dyDescent="0.3">
      <c r="A2" s="1">
        <v>10001</v>
      </c>
      <c r="B2" s="1" t="s">
        <v>79</v>
      </c>
      <c r="C2" s="1" t="s">
        <v>80</v>
      </c>
      <c r="D2" s="1" t="s">
        <v>17</v>
      </c>
      <c r="E2" s="1" t="s">
        <v>13</v>
      </c>
      <c r="F2" s="1">
        <v>8</v>
      </c>
      <c r="G2" s="7">
        <v>2000</v>
      </c>
      <c r="H2" s="3">
        <v>12</v>
      </c>
      <c r="I2" s="2">
        <f>(salesdata[[#This Row],[Discount]]/100)</f>
        <v>0.12</v>
      </c>
      <c r="J2" s="8">
        <v>14080</v>
      </c>
      <c r="K2" s="4" t="s">
        <v>18</v>
      </c>
      <c r="L2" s="4" t="s">
        <v>35</v>
      </c>
      <c r="M2" s="4" t="s">
        <v>81</v>
      </c>
      <c r="N2" s="4" t="s">
        <v>31</v>
      </c>
      <c r="O2" s="1" t="str">
        <f>TEXT(salesdata[[#This Row],[Order_Date]],"mmm")</f>
        <v>Dec</v>
      </c>
      <c r="P2" s="1">
        <f>YEAR(salesdata[[#This Row],[Order_Date]])</f>
        <v>2023</v>
      </c>
      <c r="Q2" s="1" t="str">
        <f t="shared" ref="Q2:Q65" si="0">"Q"&amp;ROUNDUP(MONTH(B2)/3,0)</f>
        <v>Q4</v>
      </c>
    </row>
    <row r="3" spans="1:17" x14ac:dyDescent="0.3">
      <c r="A3" s="1">
        <v>10002</v>
      </c>
      <c r="B3" s="1" t="s">
        <v>82</v>
      </c>
      <c r="C3" s="1" t="s">
        <v>83</v>
      </c>
      <c r="D3" s="1" t="s">
        <v>84</v>
      </c>
      <c r="E3" s="1" t="s">
        <v>28</v>
      </c>
      <c r="F3" s="1">
        <v>4</v>
      </c>
      <c r="G3" s="7">
        <v>15000</v>
      </c>
      <c r="H3" s="3">
        <v>4</v>
      </c>
      <c r="I3" s="2">
        <f>(salesdata[[#This Row],[Discount]]/100)</f>
        <v>0.04</v>
      </c>
      <c r="J3" s="9">
        <v>57600</v>
      </c>
      <c r="K3" s="5" t="s">
        <v>85</v>
      </c>
      <c r="L3" s="5" t="s">
        <v>35</v>
      </c>
      <c r="M3" s="5" t="s">
        <v>33</v>
      </c>
      <c r="N3" s="5" t="s">
        <v>20</v>
      </c>
      <c r="O3" s="1" t="str">
        <f>TEXT(salesdata[[#This Row],[Order_Date]],"mmm")</f>
        <v>Oct</v>
      </c>
      <c r="P3" s="1">
        <f>YEAR(salesdata[[#This Row],[Order_Date]])</f>
        <v>2023</v>
      </c>
      <c r="Q3" s="1" t="str">
        <f t="shared" si="0"/>
        <v>Q4</v>
      </c>
    </row>
    <row r="4" spans="1:17" x14ac:dyDescent="0.3">
      <c r="A4" s="1">
        <v>10003</v>
      </c>
      <c r="B4" s="1" t="s">
        <v>86</v>
      </c>
      <c r="C4" s="1" t="s">
        <v>87</v>
      </c>
      <c r="D4" s="1" t="s">
        <v>84</v>
      </c>
      <c r="E4" s="1" t="s">
        <v>28</v>
      </c>
      <c r="F4" s="1">
        <v>1</v>
      </c>
      <c r="G4" s="7">
        <v>15000</v>
      </c>
      <c r="H4" s="3">
        <v>17</v>
      </c>
      <c r="I4" s="2">
        <f>(salesdata[[#This Row],[Discount]]/100)</f>
        <v>0.17</v>
      </c>
      <c r="J4" s="8">
        <v>12450</v>
      </c>
      <c r="K4" s="4" t="s">
        <v>88</v>
      </c>
      <c r="L4" s="4" t="s">
        <v>35</v>
      </c>
      <c r="M4" s="4" t="s">
        <v>81</v>
      </c>
      <c r="N4" s="4" t="s">
        <v>16</v>
      </c>
      <c r="O4" s="1" t="str">
        <f>TEXT(salesdata[[#This Row],[Order_Date]],"mmm")</f>
        <v>Aug</v>
      </c>
      <c r="P4" s="1">
        <f>YEAR(salesdata[[#This Row],[Order_Date]])</f>
        <v>2023</v>
      </c>
      <c r="Q4" s="1" t="str">
        <f t="shared" si="0"/>
        <v>Q3</v>
      </c>
    </row>
    <row r="5" spans="1:17" x14ac:dyDescent="0.3">
      <c r="A5" s="1">
        <v>10004</v>
      </c>
      <c r="B5" s="1" t="s">
        <v>89</v>
      </c>
      <c r="C5" s="1" t="s">
        <v>90</v>
      </c>
      <c r="D5" s="1" t="s">
        <v>17</v>
      </c>
      <c r="E5" s="1" t="s">
        <v>13</v>
      </c>
      <c r="F5" s="1">
        <v>8</v>
      </c>
      <c r="G5" s="7">
        <v>2000</v>
      </c>
      <c r="H5" s="3">
        <v>19</v>
      </c>
      <c r="I5" s="2">
        <f>(salesdata[[#This Row],[Discount]]/100)</f>
        <v>0.19</v>
      </c>
      <c r="J5" s="9">
        <v>12960</v>
      </c>
      <c r="K5" s="5" t="s">
        <v>88</v>
      </c>
      <c r="L5" s="5" t="s">
        <v>91</v>
      </c>
      <c r="M5" s="5" t="s">
        <v>44</v>
      </c>
      <c r="N5" s="5" t="s">
        <v>20</v>
      </c>
      <c r="O5" s="1" t="str">
        <f>TEXT(salesdata[[#This Row],[Order_Date]],"mmm")</f>
        <v>Dec</v>
      </c>
      <c r="P5" s="1">
        <f>YEAR(salesdata[[#This Row],[Order_Date]])</f>
        <v>2023</v>
      </c>
      <c r="Q5" s="1" t="str">
        <f t="shared" si="0"/>
        <v>Q4</v>
      </c>
    </row>
    <row r="6" spans="1:17" x14ac:dyDescent="0.3">
      <c r="A6" s="1">
        <v>10005</v>
      </c>
      <c r="B6" s="1" t="s">
        <v>92</v>
      </c>
      <c r="C6" s="1" t="s">
        <v>93</v>
      </c>
      <c r="D6" s="1" t="s">
        <v>42</v>
      </c>
      <c r="E6" s="1" t="s">
        <v>13</v>
      </c>
      <c r="F6" s="1">
        <v>7</v>
      </c>
      <c r="G6" s="7">
        <v>25000</v>
      </c>
      <c r="H6" s="3">
        <v>0</v>
      </c>
      <c r="I6" s="2">
        <f>(salesdata[[#This Row],[Discount]]/100)</f>
        <v>0</v>
      </c>
      <c r="J6" s="8">
        <v>175000</v>
      </c>
      <c r="K6" s="4" t="s">
        <v>23</v>
      </c>
      <c r="L6" s="4" t="s">
        <v>35</v>
      </c>
      <c r="M6" s="4" t="s">
        <v>25</v>
      </c>
      <c r="N6" s="4" t="s">
        <v>34</v>
      </c>
      <c r="O6" s="1" t="str">
        <f>TEXT(salesdata[[#This Row],[Order_Date]],"mmm")</f>
        <v>Dec</v>
      </c>
      <c r="P6" s="1">
        <f>YEAR(salesdata[[#This Row],[Order_Date]])</f>
        <v>2023</v>
      </c>
      <c r="Q6" s="1" t="str">
        <f t="shared" si="0"/>
        <v>Q4</v>
      </c>
    </row>
    <row r="7" spans="1:17" x14ac:dyDescent="0.3">
      <c r="A7" s="1">
        <v>10006</v>
      </c>
      <c r="B7" s="1" t="s">
        <v>94</v>
      </c>
      <c r="C7" s="1" t="s">
        <v>95</v>
      </c>
      <c r="D7" s="1" t="s">
        <v>36</v>
      </c>
      <c r="E7" s="1" t="s">
        <v>13</v>
      </c>
      <c r="F7" s="1">
        <v>10</v>
      </c>
      <c r="G7" s="7">
        <v>8000</v>
      </c>
      <c r="H7" s="3">
        <v>8</v>
      </c>
      <c r="I7" s="2">
        <f>(salesdata[[#This Row],[Discount]]/100)</f>
        <v>0.08</v>
      </c>
      <c r="J7" s="9">
        <v>73600</v>
      </c>
      <c r="K7" s="5" t="s">
        <v>37</v>
      </c>
      <c r="L7" s="5" t="s">
        <v>24</v>
      </c>
      <c r="M7" s="5" t="s">
        <v>40</v>
      </c>
      <c r="N7" s="5" t="s">
        <v>20</v>
      </c>
      <c r="O7" s="1" t="str">
        <f>TEXT(salesdata[[#This Row],[Order_Date]],"mmm")</f>
        <v>Jul</v>
      </c>
      <c r="P7" s="1">
        <f>YEAR(salesdata[[#This Row],[Order_Date]])</f>
        <v>2023</v>
      </c>
      <c r="Q7" s="1" t="str">
        <f t="shared" si="0"/>
        <v>Q3</v>
      </c>
    </row>
    <row r="8" spans="1:17" x14ac:dyDescent="0.3">
      <c r="A8" s="1">
        <v>10007</v>
      </c>
      <c r="B8" s="1" t="s">
        <v>96</v>
      </c>
      <c r="C8" s="1" t="s">
        <v>97</v>
      </c>
      <c r="D8" s="1" t="s">
        <v>84</v>
      </c>
      <c r="E8" s="1" t="s">
        <v>28</v>
      </c>
      <c r="F8" s="1">
        <v>5</v>
      </c>
      <c r="G8" s="7">
        <v>15000</v>
      </c>
      <c r="H8" s="3">
        <v>7</v>
      </c>
      <c r="I8" s="2">
        <f>(salesdata[[#This Row],[Discount]]/100)</f>
        <v>7.0000000000000007E-2</v>
      </c>
      <c r="J8" s="8">
        <v>69750</v>
      </c>
      <c r="K8" s="4" t="s">
        <v>37</v>
      </c>
      <c r="L8" s="4" t="s">
        <v>98</v>
      </c>
      <c r="M8" s="4" t="s">
        <v>19</v>
      </c>
      <c r="N8" s="4" t="s">
        <v>34</v>
      </c>
      <c r="O8" s="1" t="str">
        <f>TEXT(salesdata[[#This Row],[Order_Date]],"mmm")</f>
        <v>Dec</v>
      </c>
      <c r="P8" s="1">
        <f>YEAR(salesdata[[#This Row],[Order_Date]])</f>
        <v>2023</v>
      </c>
      <c r="Q8" s="1" t="str">
        <f t="shared" si="0"/>
        <v>Q4</v>
      </c>
    </row>
    <row r="9" spans="1:17" x14ac:dyDescent="0.3">
      <c r="A9" s="1">
        <v>10008</v>
      </c>
      <c r="B9" s="1" t="s">
        <v>99</v>
      </c>
      <c r="C9" s="1" t="s">
        <v>100</v>
      </c>
      <c r="D9" s="1" t="s">
        <v>27</v>
      </c>
      <c r="E9" s="1" t="s">
        <v>28</v>
      </c>
      <c r="F9" s="1">
        <v>7</v>
      </c>
      <c r="G9" s="7">
        <v>7000</v>
      </c>
      <c r="H9" s="3">
        <v>13</v>
      </c>
      <c r="I9" s="2">
        <f>(salesdata[[#This Row],[Discount]]/100)</f>
        <v>0.13</v>
      </c>
      <c r="J9" s="9">
        <v>42630</v>
      </c>
      <c r="K9" s="5" t="s">
        <v>18</v>
      </c>
      <c r="L9" s="5" t="s">
        <v>24</v>
      </c>
      <c r="M9" s="5" t="s">
        <v>101</v>
      </c>
      <c r="N9" s="5" t="s">
        <v>16</v>
      </c>
      <c r="O9" s="1" t="str">
        <f>TEXT(salesdata[[#This Row],[Order_Date]],"mmm")</f>
        <v>Oct</v>
      </c>
      <c r="P9" s="1">
        <f>YEAR(salesdata[[#This Row],[Order_Date]])</f>
        <v>2023</v>
      </c>
      <c r="Q9" s="1" t="str">
        <f t="shared" si="0"/>
        <v>Q4</v>
      </c>
    </row>
    <row r="10" spans="1:17" x14ac:dyDescent="0.3">
      <c r="A10" s="1">
        <v>10009</v>
      </c>
      <c r="B10" s="1" t="s">
        <v>102</v>
      </c>
      <c r="C10" s="1" t="s">
        <v>103</v>
      </c>
      <c r="D10" s="1" t="s">
        <v>27</v>
      </c>
      <c r="E10" s="1" t="s">
        <v>28</v>
      </c>
      <c r="F10" s="1">
        <v>7</v>
      </c>
      <c r="G10" s="7">
        <v>7000</v>
      </c>
      <c r="H10" s="3">
        <v>10</v>
      </c>
      <c r="I10" s="2">
        <f>(salesdata[[#This Row],[Discount]]/100)</f>
        <v>0.1</v>
      </c>
      <c r="J10" s="8">
        <v>44100</v>
      </c>
      <c r="K10" s="4" t="s">
        <v>37</v>
      </c>
      <c r="L10" s="4" t="s">
        <v>35</v>
      </c>
      <c r="M10" s="4" t="s">
        <v>101</v>
      </c>
      <c r="N10" s="4" t="s">
        <v>16</v>
      </c>
      <c r="O10" s="1" t="str">
        <f>TEXT(salesdata[[#This Row],[Order_Date]],"mmm")</f>
        <v>Sep</v>
      </c>
      <c r="P10" s="1">
        <f>YEAR(salesdata[[#This Row],[Order_Date]])</f>
        <v>2023</v>
      </c>
      <c r="Q10" s="1" t="str">
        <f t="shared" si="0"/>
        <v>Q3</v>
      </c>
    </row>
    <row r="11" spans="1:17" x14ac:dyDescent="0.3">
      <c r="A11" s="1">
        <v>10010</v>
      </c>
      <c r="B11" s="1" t="s">
        <v>104</v>
      </c>
      <c r="C11" s="1" t="s">
        <v>105</v>
      </c>
      <c r="D11" s="1" t="s">
        <v>27</v>
      </c>
      <c r="E11" s="1" t="s">
        <v>28</v>
      </c>
      <c r="F11" s="1">
        <v>2</v>
      </c>
      <c r="G11" s="7">
        <v>7000</v>
      </c>
      <c r="H11" s="3">
        <v>20</v>
      </c>
      <c r="I11" s="2">
        <f>(salesdata[[#This Row],[Discount]]/100)</f>
        <v>0.2</v>
      </c>
      <c r="J11" s="9">
        <v>11200</v>
      </c>
      <c r="K11" s="5" t="s">
        <v>23</v>
      </c>
      <c r="L11" s="5" t="s">
        <v>98</v>
      </c>
      <c r="M11" s="5" t="s">
        <v>44</v>
      </c>
      <c r="N11" s="5" t="s">
        <v>16</v>
      </c>
      <c r="O11" s="1" t="str">
        <f>TEXT(salesdata[[#This Row],[Order_Date]],"mmm")</f>
        <v>Jul</v>
      </c>
      <c r="P11" s="1">
        <f>YEAR(salesdata[[#This Row],[Order_Date]])</f>
        <v>2023</v>
      </c>
      <c r="Q11" s="1" t="str">
        <f t="shared" si="0"/>
        <v>Q3</v>
      </c>
    </row>
    <row r="12" spans="1:17" x14ac:dyDescent="0.3">
      <c r="A12" s="1">
        <v>10011</v>
      </c>
      <c r="B12" s="1" t="s">
        <v>106</v>
      </c>
      <c r="C12" s="1" t="s">
        <v>107</v>
      </c>
      <c r="D12" s="1" t="s">
        <v>29</v>
      </c>
      <c r="E12" s="1" t="s">
        <v>13</v>
      </c>
      <c r="F12" s="1">
        <v>3</v>
      </c>
      <c r="G12" s="7">
        <v>500</v>
      </c>
      <c r="H12" s="3">
        <v>6</v>
      </c>
      <c r="I12" s="2">
        <f>(salesdata[[#This Row],[Discount]]/100)</f>
        <v>0.06</v>
      </c>
      <c r="J12" s="8">
        <v>1410</v>
      </c>
      <c r="K12" s="4" t="s">
        <v>85</v>
      </c>
      <c r="L12" s="4" t="s">
        <v>35</v>
      </c>
      <c r="M12" s="4" t="s">
        <v>81</v>
      </c>
      <c r="N12" s="4" t="s">
        <v>31</v>
      </c>
      <c r="O12" s="1" t="str">
        <f>TEXT(salesdata[[#This Row],[Order_Date]],"mmm")</f>
        <v>Feb</v>
      </c>
      <c r="P12" s="1">
        <f>YEAR(salesdata[[#This Row],[Order_Date]])</f>
        <v>2023</v>
      </c>
      <c r="Q12" s="1" t="str">
        <f t="shared" si="0"/>
        <v>Q1</v>
      </c>
    </row>
    <row r="13" spans="1:17" x14ac:dyDescent="0.3">
      <c r="A13" s="1">
        <v>10012</v>
      </c>
      <c r="B13" s="1" t="s">
        <v>108</v>
      </c>
      <c r="C13" s="1" t="s">
        <v>109</v>
      </c>
      <c r="D13" s="1" t="s">
        <v>29</v>
      </c>
      <c r="E13" s="1" t="s">
        <v>13</v>
      </c>
      <c r="F13" s="1">
        <v>3</v>
      </c>
      <c r="G13" s="7">
        <v>500</v>
      </c>
      <c r="H13" s="3">
        <v>8</v>
      </c>
      <c r="I13" s="2">
        <f>(salesdata[[#This Row],[Discount]]/100)</f>
        <v>0.08</v>
      </c>
      <c r="J13" s="9">
        <v>1380</v>
      </c>
      <c r="K13" s="5" t="s">
        <v>23</v>
      </c>
      <c r="L13" s="5" t="s">
        <v>24</v>
      </c>
      <c r="M13" s="5" t="s">
        <v>101</v>
      </c>
      <c r="N13" s="5" t="s">
        <v>34</v>
      </c>
      <c r="O13" s="1" t="str">
        <f>TEXT(salesdata[[#This Row],[Order_Date]],"mmm")</f>
        <v>Nov</v>
      </c>
      <c r="P13" s="1">
        <f>YEAR(salesdata[[#This Row],[Order_Date]])</f>
        <v>2023</v>
      </c>
      <c r="Q13" s="1" t="str">
        <f t="shared" si="0"/>
        <v>Q4</v>
      </c>
    </row>
    <row r="14" spans="1:17" x14ac:dyDescent="0.3">
      <c r="A14" s="1">
        <v>10013</v>
      </c>
      <c r="B14" s="1" t="s">
        <v>79</v>
      </c>
      <c r="C14" s="1" t="s">
        <v>110</v>
      </c>
      <c r="D14" s="1" t="s">
        <v>42</v>
      </c>
      <c r="E14" s="1" t="s">
        <v>13</v>
      </c>
      <c r="F14" s="1">
        <v>8</v>
      </c>
      <c r="G14" s="7">
        <v>25000</v>
      </c>
      <c r="H14" s="3">
        <v>2</v>
      </c>
      <c r="I14" s="2">
        <f>(salesdata[[#This Row],[Discount]]/100)</f>
        <v>0.02</v>
      </c>
      <c r="J14" s="8">
        <v>196000</v>
      </c>
      <c r="K14" s="4" t="s">
        <v>85</v>
      </c>
      <c r="L14" s="4" t="s">
        <v>24</v>
      </c>
      <c r="M14" s="4" t="s">
        <v>40</v>
      </c>
      <c r="N14" s="4" t="s">
        <v>16</v>
      </c>
      <c r="O14" s="1" t="str">
        <f>TEXT(salesdata[[#This Row],[Order_Date]],"mmm")</f>
        <v>Dec</v>
      </c>
      <c r="P14" s="1">
        <f>YEAR(salesdata[[#This Row],[Order_Date]])</f>
        <v>2023</v>
      </c>
      <c r="Q14" s="1" t="str">
        <f t="shared" si="0"/>
        <v>Q4</v>
      </c>
    </row>
    <row r="15" spans="1:17" x14ac:dyDescent="0.3">
      <c r="A15" s="1">
        <v>10014</v>
      </c>
      <c r="B15" s="1" t="s">
        <v>111</v>
      </c>
      <c r="C15" s="1" t="s">
        <v>112</v>
      </c>
      <c r="D15" s="1" t="s">
        <v>42</v>
      </c>
      <c r="E15" s="1" t="s">
        <v>13</v>
      </c>
      <c r="F15" s="1">
        <v>1</v>
      </c>
      <c r="G15" s="7">
        <v>25000</v>
      </c>
      <c r="H15" s="3">
        <v>4</v>
      </c>
      <c r="I15" s="2">
        <f>(salesdata[[#This Row],[Discount]]/100)</f>
        <v>0.04</v>
      </c>
      <c r="J15" s="9">
        <v>24000</v>
      </c>
      <c r="K15" s="5" t="s">
        <v>88</v>
      </c>
      <c r="L15" s="5" t="s">
        <v>98</v>
      </c>
      <c r="M15" s="5" t="s">
        <v>25</v>
      </c>
      <c r="N15" s="5" t="s">
        <v>31</v>
      </c>
      <c r="O15" s="1" t="str">
        <f>TEXT(salesdata[[#This Row],[Order_Date]],"mmm")</f>
        <v>Feb</v>
      </c>
      <c r="P15" s="1">
        <f>YEAR(salesdata[[#This Row],[Order_Date]])</f>
        <v>2023</v>
      </c>
      <c r="Q15" s="1" t="str">
        <f t="shared" si="0"/>
        <v>Q1</v>
      </c>
    </row>
    <row r="16" spans="1:17" x14ac:dyDescent="0.3">
      <c r="A16" s="1">
        <v>10015</v>
      </c>
      <c r="B16" s="1" t="s">
        <v>113</v>
      </c>
      <c r="C16" s="1" t="s">
        <v>114</v>
      </c>
      <c r="D16" s="1" t="s">
        <v>12</v>
      </c>
      <c r="E16" s="1" t="s">
        <v>13</v>
      </c>
      <c r="F16" s="1">
        <v>9</v>
      </c>
      <c r="G16" s="7">
        <v>50000</v>
      </c>
      <c r="H16" s="3">
        <v>7</v>
      </c>
      <c r="I16" s="2">
        <f>(salesdata[[#This Row],[Discount]]/100)</f>
        <v>7.0000000000000007E-2</v>
      </c>
      <c r="J16" s="8">
        <v>418500</v>
      </c>
      <c r="K16" s="4" t="s">
        <v>85</v>
      </c>
      <c r="L16" s="4" t="s">
        <v>91</v>
      </c>
      <c r="M16" s="4" t="s">
        <v>40</v>
      </c>
      <c r="N16" s="4" t="s">
        <v>20</v>
      </c>
      <c r="O16" s="1" t="str">
        <f>TEXT(salesdata[[#This Row],[Order_Date]],"mmm")</f>
        <v>Feb</v>
      </c>
      <c r="P16" s="1">
        <f>YEAR(salesdata[[#This Row],[Order_Date]])</f>
        <v>2023</v>
      </c>
      <c r="Q16" s="1" t="str">
        <f t="shared" si="0"/>
        <v>Q1</v>
      </c>
    </row>
    <row r="17" spans="1:17" x14ac:dyDescent="0.3">
      <c r="A17" s="1">
        <v>10016</v>
      </c>
      <c r="B17" s="1" t="s">
        <v>115</v>
      </c>
      <c r="C17" s="1" t="s">
        <v>116</v>
      </c>
      <c r="D17" s="1" t="s">
        <v>22</v>
      </c>
      <c r="E17" s="1" t="s">
        <v>13</v>
      </c>
      <c r="F17" s="1">
        <v>7</v>
      </c>
      <c r="G17" s="7">
        <v>1200</v>
      </c>
      <c r="H17" s="3">
        <v>7</v>
      </c>
      <c r="I17" s="2">
        <f>(salesdata[[#This Row],[Discount]]/100)</f>
        <v>7.0000000000000007E-2</v>
      </c>
      <c r="J17" s="9">
        <v>7812</v>
      </c>
      <c r="K17" s="5" t="s">
        <v>88</v>
      </c>
      <c r="L17" s="5" t="s">
        <v>91</v>
      </c>
      <c r="M17" s="5" t="s">
        <v>44</v>
      </c>
      <c r="N17" s="5" t="s">
        <v>34</v>
      </c>
      <c r="O17" s="1" t="str">
        <f>TEXT(salesdata[[#This Row],[Order_Date]],"mmm")</f>
        <v>Sep</v>
      </c>
      <c r="P17" s="1">
        <f>YEAR(salesdata[[#This Row],[Order_Date]])</f>
        <v>2023</v>
      </c>
      <c r="Q17" s="1" t="str">
        <f t="shared" si="0"/>
        <v>Q3</v>
      </c>
    </row>
    <row r="18" spans="1:17" x14ac:dyDescent="0.3">
      <c r="A18" s="1">
        <v>10017</v>
      </c>
      <c r="B18" s="1" t="s">
        <v>117</v>
      </c>
      <c r="C18" s="1" t="s">
        <v>118</v>
      </c>
      <c r="D18" s="1" t="s">
        <v>119</v>
      </c>
      <c r="E18" s="1" t="s">
        <v>13</v>
      </c>
      <c r="F18" s="1">
        <v>4</v>
      </c>
      <c r="G18" s="7">
        <v>5000</v>
      </c>
      <c r="H18" s="3">
        <v>10</v>
      </c>
      <c r="I18" s="2">
        <f>(salesdata[[#This Row],[Discount]]/100)</f>
        <v>0.1</v>
      </c>
      <c r="J18" s="8">
        <v>18000</v>
      </c>
      <c r="K18" s="4" t="s">
        <v>88</v>
      </c>
      <c r="L18" s="4" t="s">
        <v>98</v>
      </c>
      <c r="M18" s="4" t="s">
        <v>101</v>
      </c>
      <c r="N18" s="4" t="s">
        <v>20</v>
      </c>
      <c r="O18" s="1" t="str">
        <f>TEXT(salesdata[[#This Row],[Order_Date]],"mmm")</f>
        <v>Nov</v>
      </c>
      <c r="P18" s="1">
        <f>YEAR(salesdata[[#This Row],[Order_Date]])</f>
        <v>2023</v>
      </c>
      <c r="Q18" s="1" t="str">
        <f t="shared" si="0"/>
        <v>Q4</v>
      </c>
    </row>
    <row r="19" spans="1:17" x14ac:dyDescent="0.3">
      <c r="A19" s="1">
        <v>10018</v>
      </c>
      <c r="B19" s="1" t="s">
        <v>120</v>
      </c>
      <c r="C19" s="1" t="s">
        <v>121</v>
      </c>
      <c r="D19" s="1" t="s">
        <v>22</v>
      </c>
      <c r="E19" s="1" t="s">
        <v>13</v>
      </c>
      <c r="F19" s="1">
        <v>3</v>
      </c>
      <c r="G19" s="7">
        <v>1200</v>
      </c>
      <c r="H19" s="3">
        <v>17</v>
      </c>
      <c r="I19" s="2">
        <f>(salesdata[[#This Row],[Discount]]/100)</f>
        <v>0.17</v>
      </c>
      <c r="J19" s="9">
        <v>2988</v>
      </c>
      <c r="K19" s="5" t="s">
        <v>39</v>
      </c>
      <c r="L19" s="5" t="s">
        <v>98</v>
      </c>
      <c r="M19" s="5" t="s">
        <v>81</v>
      </c>
      <c r="N19" s="5" t="s">
        <v>34</v>
      </c>
      <c r="O19" s="1" t="str">
        <f>TEXT(salesdata[[#This Row],[Order_Date]],"mmm")</f>
        <v>Nov</v>
      </c>
      <c r="P19" s="1">
        <f>YEAR(salesdata[[#This Row],[Order_Date]])</f>
        <v>2023</v>
      </c>
      <c r="Q19" s="1" t="str">
        <f t="shared" si="0"/>
        <v>Q4</v>
      </c>
    </row>
    <row r="20" spans="1:17" x14ac:dyDescent="0.3">
      <c r="A20" s="1">
        <v>10019</v>
      </c>
      <c r="B20" s="1" t="s">
        <v>122</v>
      </c>
      <c r="C20" s="1" t="s">
        <v>123</v>
      </c>
      <c r="D20" s="1" t="s">
        <v>42</v>
      </c>
      <c r="E20" s="1" t="s">
        <v>13</v>
      </c>
      <c r="F20" s="1">
        <v>1</v>
      </c>
      <c r="G20" s="7">
        <v>25000</v>
      </c>
      <c r="H20" s="3">
        <v>19</v>
      </c>
      <c r="I20" s="2">
        <f>(salesdata[[#This Row],[Discount]]/100)</f>
        <v>0.19</v>
      </c>
      <c r="J20" s="8">
        <v>20250</v>
      </c>
      <c r="K20" s="4" t="s">
        <v>18</v>
      </c>
      <c r="L20" s="4" t="s">
        <v>98</v>
      </c>
      <c r="M20" s="4" t="s">
        <v>33</v>
      </c>
      <c r="N20" s="4" t="s">
        <v>34</v>
      </c>
      <c r="O20" s="1" t="str">
        <f>TEXT(salesdata[[#This Row],[Order_Date]],"mmm")</f>
        <v>May</v>
      </c>
      <c r="P20" s="1">
        <f>YEAR(salesdata[[#This Row],[Order_Date]])</f>
        <v>2023</v>
      </c>
      <c r="Q20" s="1" t="str">
        <f t="shared" si="0"/>
        <v>Q2</v>
      </c>
    </row>
    <row r="21" spans="1:17" x14ac:dyDescent="0.3">
      <c r="A21" s="1">
        <v>10020</v>
      </c>
      <c r="B21" s="1" t="s">
        <v>79</v>
      </c>
      <c r="C21" s="1" t="s">
        <v>124</v>
      </c>
      <c r="D21" s="1" t="s">
        <v>17</v>
      </c>
      <c r="E21" s="1" t="s">
        <v>13</v>
      </c>
      <c r="F21" s="1">
        <v>9</v>
      </c>
      <c r="G21" s="7">
        <v>2000</v>
      </c>
      <c r="H21" s="3">
        <v>3</v>
      </c>
      <c r="I21" s="2">
        <f>(salesdata[[#This Row],[Discount]]/100)</f>
        <v>0.03</v>
      </c>
      <c r="J21" s="9">
        <v>17460</v>
      </c>
      <c r="K21" s="5" t="s">
        <v>37</v>
      </c>
      <c r="L21" s="5" t="s">
        <v>15</v>
      </c>
      <c r="M21" s="5" t="s">
        <v>33</v>
      </c>
      <c r="N21" s="5" t="s">
        <v>20</v>
      </c>
      <c r="O21" s="1" t="str">
        <f>TEXT(salesdata[[#This Row],[Order_Date]],"mmm")</f>
        <v>Dec</v>
      </c>
      <c r="P21" s="1">
        <f>YEAR(salesdata[[#This Row],[Order_Date]])</f>
        <v>2023</v>
      </c>
      <c r="Q21" s="1" t="str">
        <f t="shared" si="0"/>
        <v>Q4</v>
      </c>
    </row>
    <row r="22" spans="1:17" x14ac:dyDescent="0.3">
      <c r="A22" s="1">
        <v>10021</v>
      </c>
      <c r="B22" s="1" t="s">
        <v>125</v>
      </c>
      <c r="C22" s="1" t="s">
        <v>126</v>
      </c>
      <c r="D22" s="1" t="s">
        <v>12</v>
      </c>
      <c r="E22" s="1" t="s">
        <v>13</v>
      </c>
      <c r="F22" s="1">
        <v>10</v>
      </c>
      <c r="G22" s="7">
        <v>50000</v>
      </c>
      <c r="H22" s="3">
        <v>10</v>
      </c>
      <c r="I22" s="2">
        <f>(salesdata[[#This Row],[Discount]]/100)</f>
        <v>0.1</v>
      </c>
      <c r="J22" s="8">
        <v>450000</v>
      </c>
      <c r="K22" s="4" t="s">
        <v>88</v>
      </c>
      <c r="L22" s="4" t="s">
        <v>24</v>
      </c>
      <c r="M22" s="4" t="s">
        <v>19</v>
      </c>
      <c r="N22" s="4" t="s">
        <v>31</v>
      </c>
      <c r="O22" s="1" t="str">
        <f>TEXT(salesdata[[#This Row],[Order_Date]],"mmm")</f>
        <v>Jul</v>
      </c>
      <c r="P22" s="1">
        <f>YEAR(salesdata[[#This Row],[Order_Date]])</f>
        <v>2023</v>
      </c>
      <c r="Q22" s="1" t="str">
        <f t="shared" si="0"/>
        <v>Q3</v>
      </c>
    </row>
    <row r="23" spans="1:17" x14ac:dyDescent="0.3">
      <c r="A23" s="1">
        <v>10022</v>
      </c>
      <c r="B23" s="1" t="s">
        <v>127</v>
      </c>
      <c r="C23" s="1" t="s">
        <v>128</v>
      </c>
      <c r="D23" s="1" t="s">
        <v>84</v>
      </c>
      <c r="E23" s="1" t="s">
        <v>28</v>
      </c>
      <c r="F23" s="1">
        <v>10</v>
      </c>
      <c r="G23" s="7">
        <v>15000</v>
      </c>
      <c r="H23" s="3">
        <v>20</v>
      </c>
      <c r="I23" s="2">
        <f>(salesdata[[#This Row],[Discount]]/100)</f>
        <v>0.2</v>
      </c>
      <c r="J23" s="9">
        <v>120000</v>
      </c>
      <c r="K23" s="5" t="s">
        <v>14</v>
      </c>
      <c r="L23" s="5" t="s">
        <v>35</v>
      </c>
      <c r="M23" s="5" t="s">
        <v>81</v>
      </c>
      <c r="N23" s="5" t="s">
        <v>34</v>
      </c>
      <c r="O23" s="1" t="str">
        <f>TEXT(salesdata[[#This Row],[Order_Date]],"mmm")</f>
        <v>Jan</v>
      </c>
      <c r="P23" s="1">
        <f>YEAR(salesdata[[#This Row],[Order_Date]])</f>
        <v>2023</v>
      </c>
      <c r="Q23" s="1" t="str">
        <f t="shared" si="0"/>
        <v>Q1</v>
      </c>
    </row>
    <row r="24" spans="1:17" x14ac:dyDescent="0.3">
      <c r="A24" s="1">
        <v>10023</v>
      </c>
      <c r="B24" s="1" t="s">
        <v>82</v>
      </c>
      <c r="C24" s="1" t="s">
        <v>129</v>
      </c>
      <c r="D24" s="1" t="s">
        <v>36</v>
      </c>
      <c r="E24" s="1" t="s">
        <v>13</v>
      </c>
      <c r="F24" s="1">
        <v>9</v>
      </c>
      <c r="G24" s="7">
        <v>8000</v>
      </c>
      <c r="H24" s="3">
        <v>17</v>
      </c>
      <c r="I24" s="2">
        <f>(salesdata[[#This Row],[Discount]]/100)</f>
        <v>0.17</v>
      </c>
      <c r="J24" s="8">
        <v>59760</v>
      </c>
      <c r="K24" s="4" t="s">
        <v>14</v>
      </c>
      <c r="L24" s="4" t="s">
        <v>98</v>
      </c>
      <c r="M24" s="4" t="s">
        <v>44</v>
      </c>
      <c r="N24" s="4" t="s">
        <v>20</v>
      </c>
      <c r="O24" s="1" t="str">
        <f>TEXT(salesdata[[#This Row],[Order_Date]],"mmm")</f>
        <v>Oct</v>
      </c>
      <c r="P24" s="1">
        <f>YEAR(salesdata[[#This Row],[Order_Date]])</f>
        <v>2023</v>
      </c>
      <c r="Q24" s="1" t="str">
        <f t="shared" si="0"/>
        <v>Q4</v>
      </c>
    </row>
    <row r="25" spans="1:17" x14ac:dyDescent="0.3">
      <c r="A25" s="1">
        <v>10024</v>
      </c>
      <c r="B25" s="1" t="s">
        <v>130</v>
      </c>
      <c r="C25" s="1" t="s">
        <v>131</v>
      </c>
      <c r="D25" s="1" t="s">
        <v>22</v>
      </c>
      <c r="E25" s="1" t="s">
        <v>13</v>
      </c>
      <c r="F25" s="1">
        <v>9</v>
      </c>
      <c r="G25" s="7">
        <v>1200</v>
      </c>
      <c r="H25" s="3">
        <v>18</v>
      </c>
      <c r="I25" s="2">
        <f>(salesdata[[#This Row],[Discount]]/100)</f>
        <v>0.18</v>
      </c>
      <c r="J25" s="9">
        <v>8856</v>
      </c>
      <c r="K25" s="5" t="s">
        <v>18</v>
      </c>
      <c r="L25" s="5" t="s">
        <v>98</v>
      </c>
      <c r="M25" s="5" t="s">
        <v>44</v>
      </c>
      <c r="N25" s="5" t="s">
        <v>20</v>
      </c>
      <c r="O25" s="1" t="str">
        <f>TEXT(salesdata[[#This Row],[Order_Date]],"mmm")</f>
        <v>Jun</v>
      </c>
      <c r="P25" s="1">
        <f>YEAR(salesdata[[#This Row],[Order_Date]])</f>
        <v>2023</v>
      </c>
      <c r="Q25" s="1" t="str">
        <f t="shared" si="0"/>
        <v>Q2</v>
      </c>
    </row>
    <row r="26" spans="1:17" x14ac:dyDescent="0.3">
      <c r="A26" s="1">
        <v>10025</v>
      </c>
      <c r="B26" s="1" t="s">
        <v>132</v>
      </c>
      <c r="C26" s="1" t="s">
        <v>133</v>
      </c>
      <c r="D26" s="1" t="s">
        <v>29</v>
      </c>
      <c r="E26" s="1" t="s">
        <v>13</v>
      </c>
      <c r="F26" s="1">
        <v>8</v>
      </c>
      <c r="G26" s="7">
        <v>500</v>
      </c>
      <c r="H26" s="3">
        <v>9</v>
      </c>
      <c r="I26" s="2">
        <f>(salesdata[[#This Row],[Discount]]/100)</f>
        <v>0.09</v>
      </c>
      <c r="J26" s="8">
        <v>3640</v>
      </c>
      <c r="K26" s="4" t="s">
        <v>30</v>
      </c>
      <c r="L26" s="4" t="s">
        <v>35</v>
      </c>
      <c r="M26" s="4" t="s">
        <v>19</v>
      </c>
      <c r="N26" s="4" t="s">
        <v>34</v>
      </c>
      <c r="O26" s="1" t="str">
        <f>TEXT(salesdata[[#This Row],[Order_Date]],"mmm")</f>
        <v>May</v>
      </c>
      <c r="P26" s="1">
        <f>YEAR(salesdata[[#This Row],[Order_Date]])</f>
        <v>2023</v>
      </c>
      <c r="Q26" s="1" t="str">
        <f t="shared" si="0"/>
        <v>Q2</v>
      </c>
    </row>
    <row r="27" spans="1:17" x14ac:dyDescent="0.3">
      <c r="A27" s="1">
        <v>10026</v>
      </c>
      <c r="B27" s="1" t="s">
        <v>134</v>
      </c>
      <c r="C27" s="1" t="s">
        <v>135</v>
      </c>
      <c r="D27" s="1" t="s">
        <v>32</v>
      </c>
      <c r="E27" s="1" t="s">
        <v>28</v>
      </c>
      <c r="F27" s="1">
        <v>3</v>
      </c>
      <c r="G27" s="7">
        <v>3000</v>
      </c>
      <c r="H27" s="3">
        <v>14</v>
      </c>
      <c r="I27" s="2">
        <f>(salesdata[[#This Row],[Discount]]/100)</f>
        <v>0.14000000000000001</v>
      </c>
      <c r="J27" s="9">
        <v>7740</v>
      </c>
      <c r="K27" s="5" t="s">
        <v>14</v>
      </c>
      <c r="L27" s="5" t="s">
        <v>35</v>
      </c>
      <c r="M27" s="5" t="s">
        <v>33</v>
      </c>
      <c r="N27" s="5" t="s">
        <v>20</v>
      </c>
      <c r="O27" s="1" t="str">
        <f>TEXT(salesdata[[#This Row],[Order_Date]],"mmm")</f>
        <v>Dec</v>
      </c>
      <c r="P27" s="1">
        <f>YEAR(salesdata[[#This Row],[Order_Date]])</f>
        <v>2023</v>
      </c>
      <c r="Q27" s="1" t="str">
        <f t="shared" si="0"/>
        <v>Q4</v>
      </c>
    </row>
    <row r="28" spans="1:17" x14ac:dyDescent="0.3">
      <c r="A28" s="1">
        <v>10027</v>
      </c>
      <c r="B28" s="1" t="s">
        <v>136</v>
      </c>
      <c r="C28" s="1" t="s">
        <v>137</v>
      </c>
      <c r="D28" s="1" t="s">
        <v>12</v>
      </c>
      <c r="E28" s="1" t="s">
        <v>13</v>
      </c>
      <c r="F28" s="1">
        <v>7</v>
      </c>
      <c r="G28" s="7">
        <v>50000</v>
      </c>
      <c r="H28" s="3">
        <v>7</v>
      </c>
      <c r="I28" s="2">
        <f>(salesdata[[#This Row],[Discount]]/100)</f>
        <v>7.0000000000000007E-2</v>
      </c>
      <c r="J28" s="8">
        <v>325500</v>
      </c>
      <c r="K28" s="4" t="s">
        <v>18</v>
      </c>
      <c r="L28" s="4" t="s">
        <v>24</v>
      </c>
      <c r="M28" s="4" t="s">
        <v>101</v>
      </c>
      <c r="N28" s="4" t="s">
        <v>31</v>
      </c>
      <c r="O28" s="1" t="str">
        <f>TEXT(salesdata[[#This Row],[Order_Date]],"mmm")</f>
        <v>Aug</v>
      </c>
      <c r="P28" s="1">
        <f>YEAR(salesdata[[#This Row],[Order_Date]])</f>
        <v>2023</v>
      </c>
      <c r="Q28" s="1" t="str">
        <f t="shared" si="0"/>
        <v>Q3</v>
      </c>
    </row>
    <row r="29" spans="1:17" x14ac:dyDescent="0.3">
      <c r="A29" s="1">
        <v>10028</v>
      </c>
      <c r="B29" s="1" t="s">
        <v>138</v>
      </c>
      <c r="C29" s="1" t="s">
        <v>139</v>
      </c>
      <c r="D29" s="1" t="s">
        <v>12</v>
      </c>
      <c r="E29" s="1" t="s">
        <v>13</v>
      </c>
      <c r="F29" s="1">
        <v>8</v>
      </c>
      <c r="G29" s="7">
        <v>50000</v>
      </c>
      <c r="H29" s="3">
        <v>12</v>
      </c>
      <c r="I29" s="2">
        <f>(salesdata[[#This Row],[Discount]]/100)</f>
        <v>0.12</v>
      </c>
      <c r="J29" s="9">
        <v>352000</v>
      </c>
      <c r="K29" s="5" t="s">
        <v>30</v>
      </c>
      <c r="L29" s="5" t="s">
        <v>91</v>
      </c>
      <c r="M29" s="5" t="s">
        <v>44</v>
      </c>
      <c r="N29" s="5" t="s">
        <v>31</v>
      </c>
      <c r="O29" s="1" t="str">
        <f>TEXT(salesdata[[#This Row],[Order_Date]],"mmm")</f>
        <v>Jun</v>
      </c>
      <c r="P29" s="1">
        <f>YEAR(salesdata[[#This Row],[Order_Date]])</f>
        <v>2023</v>
      </c>
      <c r="Q29" s="1" t="str">
        <f t="shared" si="0"/>
        <v>Q2</v>
      </c>
    </row>
    <row r="30" spans="1:17" x14ac:dyDescent="0.3">
      <c r="A30" s="1">
        <v>10029</v>
      </c>
      <c r="B30" s="1" t="s">
        <v>140</v>
      </c>
      <c r="C30" s="1" t="s">
        <v>141</v>
      </c>
      <c r="D30" s="1" t="s">
        <v>22</v>
      </c>
      <c r="E30" s="1" t="s">
        <v>13</v>
      </c>
      <c r="F30" s="1">
        <v>2</v>
      </c>
      <c r="G30" s="7">
        <v>1200</v>
      </c>
      <c r="H30" s="3">
        <v>18</v>
      </c>
      <c r="I30" s="2">
        <f>(salesdata[[#This Row],[Discount]]/100)</f>
        <v>0.18</v>
      </c>
      <c r="J30" s="8">
        <v>1968</v>
      </c>
      <c r="K30" s="4" t="s">
        <v>14</v>
      </c>
      <c r="L30" s="4" t="s">
        <v>24</v>
      </c>
      <c r="M30" s="4" t="s">
        <v>33</v>
      </c>
      <c r="N30" s="4" t="s">
        <v>31</v>
      </c>
      <c r="O30" s="1" t="str">
        <f>TEXT(salesdata[[#This Row],[Order_Date]],"mmm")</f>
        <v>Aug</v>
      </c>
      <c r="P30" s="1">
        <f>YEAR(salesdata[[#This Row],[Order_Date]])</f>
        <v>2023</v>
      </c>
      <c r="Q30" s="1" t="str">
        <f t="shared" si="0"/>
        <v>Q3</v>
      </c>
    </row>
    <row r="31" spans="1:17" x14ac:dyDescent="0.3">
      <c r="A31" s="1">
        <v>10030</v>
      </c>
      <c r="B31" s="1" t="s">
        <v>142</v>
      </c>
      <c r="C31" s="1" t="s">
        <v>143</v>
      </c>
      <c r="D31" s="1" t="s">
        <v>32</v>
      </c>
      <c r="E31" s="1" t="s">
        <v>28</v>
      </c>
      <c r="F31" s="1">
        <v>5</v>
      </c>
      <c r="G31" s="7">
        <v>3000</v>
      </c>
      <c r="H31" s="3">
        <v>0</v>
      </c>
      <c r="I31" s="2">
        <f>(salesdata[[#This Row],[Discount]]/100)</f>
        <v>0</v>
      </c>
      <c r="J31" s="9">
        <v>15000</v>
      </c>
      <c r="K31" s="5" t="s">
        <v>30</v>
      </c>
      <c r="L31" s="5" t="s">
        <v>15</v>
      </c>
      <c r="M31" s="5" t="s">
        <v>81</v>
      </c>
      <c r="N31" s="5" t="s">
        <v>16</v>
      </c>
      <c r="O31" s="1" t="str">
        <f>TEXT(salesdata[[#This Row],[Order_Date]],"mmm")</f>
        <v>Dec</v>
      </c>
      <c r="P31" s="1">
        <f>YEAR(salesdata[[#This Row],[Order_Date]])</f>
        <v>2023</v>
      </c>
      <c r="Q31" s="1" t="str">
        <f t="shared" si="0"/>
        <v>Q4</v>
      </c>
    </row>
    <row r="32" spans="1:17" x14ac:dyDescent="0.3">
      <c r="A32" s="1">
        <v>10031</v>
      </c>
      <c r="B32" s="1" t="s">
        <v>144</v>
      </c>
      <c r="C32" s="1" t="s">
        <v>145</v>
      </c>
      <c r="D32" s="1" t="s">
        <v>12</v>
      </c>
      <c r="E32" s="1" t="s">
        <v>13</v>
      </c>
      <c r="F32" s="1">
        <v>7</v>
      </c>
      <c r="G32" s="7">
        <v>50000</v>
      </c>
      <c r="H32" s="3">
        <v>16</v>
      </c>
      <c r="I32" s="2">
        <f>(salesdata[[#This Row],[Discount]]/100)</f>
        <v>0.16</v>
      </c>
      <c r="J32" s="8">
        <v>294000</v>
      </c>
      <c r="K32" s="4" t="s">
        <v>18</v>
      </c>
      <c r="L32" s="4" t="s">
        <v>35</v>
      </c>
      <c r="M32" s="4" t="s">
        <v>81</v>
      </c>
      <c r="N32" s="4" t="s">
        <v>31</v>
      </c>
      <c r="O32" s="1" t="str">
        <f>TEXT(salesdata[[#This Row],[Order_Date]],"mmm")</f>
        <v>Oct</v>
      </c>
      <c r="P32" s="1">
        <f>YEAR(salesdata[[#This Row],[Order_Date]])</f>
        <v>2023</v>
      </c>
      <c r="Q32" s="1" t="str">
        <f t="shared" si="0"/>
        <v>Q4</v>
      </c>
    </row>
    <row r="33" spans="1:17" x14ac:dyDescent="0.3">
      <c r="A33" s="1">
        <v>10032</v>
      </c>
      <c r="B33" s="1" t="s">
        <v>146</v>
      </c>
      <c r="C33" s="1" t="s">
        <v>147</v>
      </c>
      <c r="D33" s="1" t="s">
        <v>12</v>
      </c>
      <c r="E33" s="1" t="s">
        <v>13</v>
      </c>
      <c r="F33" s="1">
        <v>3</v>
      </c>
      <c r="G33" s="7">
        <v>50000</v>
      </c>
      <c r="H33" s="3">
        <v>19</v>
      </c>
      <c r="I33" s="2">
        <f>(salesdata[[#This Row],[Discount]]/100)</f>
        <v>0.19</v>
      </c>
      <c r="J33" s="9">
        <v>121500</v>
      </c>
      <c r="K33" s="5" t="s">
        <v>88</v>
      </c>
      <c r="L33" s="5" t="s">
        <v>98</v>
      </c>
      <c r="M33" s="5" t="s">
        <v>40</v>
      </c>
      <c r="N33" s="5" t="s">
        <v>20</v>
      </c>
      <c r="O33" s="1" t="str">
        <f>TEXT(salesdata[[#This Row],[Order_Date]],"mmm")</f>
        <v>Oct</v>
      </c>
      <c r="P33" s="1">
        <f>YEAR(salesdata[[#This Row],[Order_Date]])</f>
        <v>2023</v>
      </c>
      <c r="Q33" s="1" t="str">
        <f t="shared" si="0"/>
        <v>Q4</v>
      </c>
    </row>
    <row r="34" spans="1:17" x14ac:dyDescent="0.3">
      <c r="A34" s="1">
        <v>10033</v>
      </c>
      <c r="B34" s="1" t="s">
        <v>148</v>
      </c>
      <c r="C34" s="1" t="s">
        <v>149</v>
      </c>
      <c r="D34" s="1" t="s">
        <v>119</v>
      </c>
      <c r="E34" s="1" t="s">
        <v>13</v>
      </c>
      <c r="F34" s="1">
        <v>8</v>
      </c>
      <c r="G34" s="7">
        <v>5000</v>
      </c>
      <c r="H34" s="3">
        <v>13</v>
      </c>
      <c r="I34" s="2">
        <f>(salesdata[[#This Row],[Discount]]/100)</f>
        <v>0.13</v>
      </c>
      <c r="J34" s="8">
        <v>34800</v>
      </c>
      <c r="K34" s="4" t="s">
        <v>85</v>
      </c>
      <c r="L34" s="4" t="s">
        <v>35</v>
      </c>
      <c r="M34" s="4" t="s">
        <v>40</v>
      </c>
      <c r="N34" s="4" t="s">
        <v>34</v>
      </c>
      <c r="O34" s="1" t="str">
        <f>TEXT(salesdata[[#This Row],[Order_Date]],"mmm")</f>
        <v>Jun</v>
      </c>
      <c r="P34" s="1">
        <f>YEAR(salesdata[[#This Row],[Order_Date]])</f>
        <v>2023</v>
      </c>
      <c r="Q34" s="1" t="str">
        <f t="shared" si="0"/>
        <v>Q2</v>
      </c>
    </row>
    <row r="35" spans="1:17" x14ac:dyDescent="0.3">
      <c r="A35" s="1">
        <v>10034</v>
      </c>
      <c r="B35" s="1" t="s">
        <v>150</v>
      </c>
      <c r="C35" s="1" t="s">
        <v>151</v>
      </c>
      <c r="D35" s="1" t="s">
        <v>29</v>
      </c>
      <c r="E35" s="1" t="s">
        <v>13</v>
      </c>
      <c r="F35" s="1">
        <v>3</v>
      </c>
      <c r="G35" s="7">
        <v>500</v>
      </c>
      <c r="H35" s="3">
        <v>19</v>
      </c>
      <c r="I35" s="2">
        <f>(salesdata[[#This Row],[Discount]]/100)</f>
        <v>0.19</v>
      </c>
      <c r="J35" s="9">
        <v>1215</v>
      </c>
      <c r="K35" s="5" t="s">
        <v>37</v>
      </c>
      <c r="L35" s="5" t="s">
        <v>15</v>
      </c>
      <c r="M35" s="5" t="s">
        <v>40</v>
      </c>
      <c r="N35" s="5" t="s">
        <v>31</v>
      </c>
      <c r="O35" s="1" t="str">
        <f>TEXT(salesdata[[#This Row],[Order_Date]],"mmm")</f>
        <v>Apr</v>
      </c>
      <c r="P35" s="1">
        <f>YEAR(salesdata[[#This Row],[Order_Date]])</f>
        <v>2023</v>
      </c>
      <c r="Q35" s="1" t="str">
        <f t="shared" si="0"/>
        <v>Q2</v>
      </c>
    </row>
    <row r="36" spans="1:17" x14ac:dyDescent="0.3">
      <c r="A36" s="1">
        <v>10035</v>
      </c>
      <c r="B36" s="1" t="s">
        <v>152</v>
      </c>
      <c r="C36" s="1" t="s">
        <v>153</v>
      </c>
      <c r="D36" s="1" t="s">
        <v>22</v>
      </c>
      <c r="E36" s="1" t="s">
        <v>13</v>
      </c>
      <c r="F36" s="1">
        <v>5</v>
      </c>
      <c r="G36" s="7">
        <v>1200</v>
      </c>
      <c r="H36" s="3">
        <v>12</v>
      </c>
      <c r="I36" s="2">
        <f>(salesdata[[#This Row],[Discount]]/100)</f>
        <v>0.12</v>
      </c>
      <c r="J36" s="8">
        <v>5280</v>
      </c>
      <c r="K36" s="4" t="s">
        <v>30</v>
      </c>
      <c r="L36" s="4" t="s">
        <v>24</v>
      </c>
      <c r="M36" s="4" t="s">
        <v>25</v>
      </c>
      <c r="N36" s="4" t="s">
        <v>16</v>
      </c>
      <c r="O36" s="1" t="str">
        <f>TEXT(salesdata[[#This Row],[Order_Date]],"mmm")</f>
        <v>Mar</v>
      </c>
      <c r="P36" s="1">
        <f>YEAR(salesdata[[#This Row],[Order_Date]])</f>
        <v>2023</v>
      </c>
      <c r="Q36" s="1" t="str">
        <f t="shared" si="0"/>
        <v>Q1</v>
      </c>
    </row>
    <row r="37" spans="1:17" x14ac:dyDescent="0.3">
      <c r="A37" s="1">
        <v>10036</v>
      </c>
      <c r="B37" s="1" t="s">
        <v>154</v>
      </c>
      <c r="C37" s="1" t="s">
        <v>155</v>
      </c>
      <c r="D37" s="1" t="s">
        <v>22</v>
      </c>
      <c r="E37" s="1" t="s">
        <v>13</v>
      </c>
      <c r="F37" s="1">
        <v>10</v>
      </c>
      <c r="G37" s="7">
        <v>1200</v>
      </c>
      <c r="H37" s="3">
        <v>1</v>
      </c>
      <c r="I37" s="2">
        <f>(salesdata[[#This Row],[Discount]]/100)</f>
        <v>0.01</v>
      </c>
      <c r="J37" s="9">
        <v>11880</v>
      </c>
      <c r="K37" s="5" t="s">
        <v>85</v>
      </c>
      <c r="L37" s="5" t="s">
        <v>35</v>
      </c>
      <c r="M37" s="5" t="s">
        <v>33</v>
      </c>
      <c r="N37" s="5" t="s">
        <v>16</v>
      </c>
      <c r="O37" s="1" t="str">
        <f>TEXT(salesdata[[#This Row],[Order_Date]],"mmm")</f>
        <v>Oct</v>
      </c>
      <c r="P37" s="1">
        <f>YEAR(salesdata[[#This Row],[Order_Date]])</f>
        <v>2023</v>
      </c>
      <c r="Q37" s="1" t="str">
        <f t="shared" si="0"/>
        <v>Q4</v>
      </c>
    </row>
    <row r="38" spans="1:17" x14ac:dyDescent="0.3">
      <c r="A38" s="1">
        <v>10037</v>
      </c>
      <c r="B38" s="1" t="s">
        <v>156</v>
      </c>
      <c r="C38" s="1" t="s">
        <v>157</v>
      </c>
      <c r="D38" s="1" t="s">
        <v>12</v>
      </c>
      <c r="E38" s="1" t="s">
        <v>13</v>
      </c>
      <c r="F38" s="1">
        <v>7</v>
      </c>
      <c r="G38" s="7">
        <v>50000</v>
      </c>
      <c r="H38" s="3">
        <v>13</v>
      </c>
      <c r="I38" s="2">
        <f>(salesdata[[#This Row],[Discount]]/100)</f>
        <v>0.13</v>
      </c>
      <c r="J38" s="8">
        <v>304500</v>
      </c>
      <c r="K38" s="4" t="s">
        <v>30</v>
      </c>
      <c r="L38" s="4" t="s">
        <v>91</v>
      </c>
      <c r="M38" s="4" t="s">
        <v>25</v>
      </c>
      <c r="N38" s="4" t="s">
        <v>20</v>
      </c>
      <c r="O38" s="1" t="str">
        <f>TEXT(salesdata[[#This Row],[Order_Date]],"mmm")</f>
        <v>Aug</v>
      </c>
      <c r="P38" s="1">
        <f>YEAR(salesdata[[#This Row],[Order_Date]])</f>
        <v>2023</v>
      </c>
      <c r="Q38" s="1" t="str">
        <f t="shared" si="0"/>
        <v>Q3</v>
      </c>
    </row>
    <row r="39" spans="1:17" x14ac:dyDescent="0.3">
      <c r="A39" s="1">
        <v>10038</v>
      </c>
      <c r="B39" s="1" t="s">
        <v>158</v>
      </c>
      <c r="C39" s="1" t="s">
        <v>159</v>
      </c>
      <c r="D39" s="1" t="s">
        <v>12</v>
      </c>
      <c r="E39" s="1" t="s">
        <v>13</v>
      </c>
      <c r="F39" s="1">
        <v>9</v>
      </c>
      <c r="G39" s="7">
        <v>50000</v>
      </c>
      <c r="H39" s="3">
        <v>5</v>
      </c>
      <c r="I39" s="2">
        <f>(salesdata[[#This Row],[Discount]]/100)</f>
        <v>0.05</v>
      </c>
      <c r="J39" s="9">
        <v>427500</v>
      </c>
      <c r="K39" s="5" t="s">
        <v>39</v>
      </c>
      <c r="L39" s="5" t="s">
        <v>15</v>
      </c>
      <c r="M39" s="5" t="s">
        <v>160</v>
      </c>
      <c r="N39" s="5" t="s">
        <v>20</v>
      </c>
      <c r="O39" s="1" t="str">
        <f>TEXT(salesdata[[#This Row],[Order_Date]],"mmm")</f>
        <v>Jun</v>
      </c>
      <c r="P39" s="1">
        <f>YEAR(salesdata[[#This Row],[Order_Date]])</f>
        <v>2023</v>
      </c>
      <c r="Q39" s="1" t="str">
        <f t="shared" si="0"/>
        <v>Q2</v>
      </c>
    </row>
    <row r="40" spans="1:17" x14ac:dyDescent="0.3">
      <c r="A40" s="1">
        <v>10039</v>
      </c>
      <c r="B40" s="1" t="s">
        <v>161</v>
      </c>
      <c r="C40" s="1" t="s">
        <v>162</v>
      </c>
      <c r="D40" s="1" t="s">
        <v>42</v>
      </c>
      <c r="E40" s="1" t="s">
        <v>13</v>
      </c>
      <c r="F40" s="1">
        <v>3</v>
      </c>
      <c r="G40" s="7">
        <v>25000</v>
      </c>
      <c r="H40" s="3">
        <v>18</v>
      </c>
      <c r="I40" s="2">
        <f>(salesdata[[#This Row],[Discount]]/100)</f>
        <v>0.18</v>
      </c>
      <c r="J40" s="8">
        <v>61500</v>
      </c>
      <c r="K40" s="4" t="s">
        <v>23</v>
      </c>
      <c r="L40" s="4" t="s">
        <v>24</v>
      </c>
      <c r="M40" s="4" t="s">
        <v>81</v>
      </c>
      <c r="N40" s="4" t="s">
        <v>16</v>
      </c>
      <c r="O40" s="1" t="str">
        <f>TEXT(salesdata[[#This Row],[Order_Date]],"mmm")</f>
        <v>Jul</v>
      </c>
      <c r="P40" s="1">
        <f>YEAR(salesdata[[#This Row],[Order_Date]])</f>
        <v>2023</v>
      </c>
      <c r="Q40" s="1" t="str">
        <f t="shared" si="0"/>
        <v>Q3</v>
      </c>
    </row>
    <row r="41" spans="1:17" x14ac:dyDescent="0.3">
      <c r="A41" s="1">
        <v>10040</v>
      </c>
      <c r="B41" s="1" t="s">
        <v>163</v>
      </c>
      <c r="C41" s="1" t="s">
        <v>164</v>
      </c>
      <c r="D41" s="1" t="s">
        <v>12</v>
      </c>
      <c r="E41" s="1" t="s">
        <v>13</v>
      </c>
      <c r="F41" s="1">
        <v>1</v>
      </c>
      <c r="G41" s="7">
        <v>50000</v>
      </c>
      <c r="H41" s="3">
        <v>8</v>
      </c>
      <c r="I41" s="2">
        <f>(salesdata[[#This Row],[Discount]]/100)</f>
        <v>0.08</v>
      </c>
      <c r="J41" s="9">
        <v>46000</v>
      </c>
      <c r="K41" s="5" t="s">
        <v>88</v>
      </c>
      <c r="L41" s="5" t="s">
        <v>98</v>
      </c>
      <c r="M41" s="5" t="s">
        <v>44</v>
      </c>
      <c r="N41" s="5" t="s">
        <v>16</v>
      </c>
      <c r="O41" s="1" t="str">
        <f>TEXT(salesdata[[#This Row],[Order_Date]],"mmm")</f>
        <v>Jun</v>
      </c>
      <c r="P41" s="1">
        <f>YEAR(salesdata[[#This Row],[Order_Date]])</f>
        <v>2023</v>
      </c>
      <c r="Q41" s="1" t="str">
        <f t="shared" si="0"/>
        <v>Q2</v>
      </c>
    </row>
    <row r="42" spans="1:17" x14ac:dyDescent="0.3">
      <c r="A42" s="1">
        <v>10041</v>
      </c>
      <c r="B42" s="1" t="s">
        <v>165</v>
      </c>
      <c r="C42" s="1" t="s">
        <v>166</v>
      </c>
      <c r="D42" s="1" t="s">
        <v>119</v>
      </c>
      <c r="E42" s="1" t="s">
        <v>13</v>
      </c>
      <c r="F42" s="1">
        <v>4</v>
      </c>
      <c r="G42" s="7">
        <v>5000</v>
      </c>
      <c r="H42" s="3">
        <v>11</v>
      </c>
      <c r="I42" s="2">
        <f>(salesdata[[#This Row],[Discount]]/100)</f>
        <v>0.11</v>
      </c>
      <c r="J42" s="8">
        <v>17800</v>
      </c>
      <c r="K42" s="4" t="s">
        <v>18</v>
      </c>
      <c r="L42" s="4" t="s">
        <v>35</v>
      </c>
      <c r="M42" s="4" t="s">
        <v>81</v>
      </c>
      <c r="N42" s="4" t="s">
        <v>31</v>
      </c>
      <c r="O42" s="1" t="str">
        <f>TEXT(salesdata[[#This Row],[Order_Date]],"mmm")</f>
        <v>Jul</v>
      </c>
      <c r="P42" s="1">
        <f>YEAR(salesdata[[#This Row],[Order_Date]])</f>
        <v>2023</v>
      </c>
      <c r="Q42" s="1" t="str">
        <f t="shared" si="0"/>
        <v>Q3</v>
      </c>
    </row>
    <row r="43" spans="1:17" x14ac:dyDescent="0.3">
      <c r="A43" s="1">
        <v>10042</v>
      </c>
      <c r="B43" s="1" t="s">
        <v>167</v>
      </c>
      <c r="C43" s="1" t="s">
        <v>168</v>
      </c>
      <c r="D43" s="1" t="s">
        <v>42</v>
      </c>
      <c r="E43" s="1" t="s">
        <v>13</v>
      </c>
      <c r="F43" s="1">
        <v>9</v>
      </c>
      <c r="G43" s="7">
        <v>25000</v>
      </c>
      <c r="H43" s="3">
        <v>8</v>
      </c>
      <c r="I43" s="2">
        <f>(salesdata[[#This Row],[Discount]]/100)</f>
        <v>0.08</v>
      </c>
      <c r="J43" s="9">
        <v>207000</v>
      </c>
      <c r="K43" s="5" t="s">
        <v>18</v>
      </c>
      <c r="L43" s="5" t="s">
        <v>24</v>
      </c>
      <c r="M43" s="5" t="s">
        <v>81</v>
      </c>
      <c r="N43" s="5" t="s">
        <v>16</v>
      </c>
      <c r="O43" s="1" t="str">
        <f>TEXT(salesdata[[#This Row],[Order_Date]],"mmm")</f>
        <v>Sep</v>
      </c>
      <c r="P43" s="1">
        <f>YEAR(salesdata[[#This Row],[Order_Date]])</f>
        <v>2023</v>
      </c>
      <c r="Q43" s="1" t="str">
        <f t="shared" si="0"/>
        <v>Q3</v>
      </c>
    </row>
    <row r="44" spans="1:17" x14ac:dyDescent="0.3">
      <c r="A44" s="1">
        <v>10043</v>
      </c>
      <c r="B44" s="1" t="s">
        <v>169</v>
      </c>
      <c r="C44" s="1" t="s">
        <v>170</v>
      </c>
      <c r="D44" s="1" t="s">
        <v>119</v>
      </c>
      <c r="E44" s="1" t="s">
        <v>13</v>
      </c>
      <c r="F44" s="1">
        <v>1</v>
      </c>
      <c r="G44" s="7">
        <v>5000</v>
      </c>
      <c r="H44" s="3">
        <v>12</v>
      </c>
      <c r="I44" s="2">
        <f>(salesdata[[#This Row],[Discount]]/100)</f>
        <v>0.12</v>
      </c>
      <c r="J44" s="8">
        <v>4400</v>
      </c>
      <c r="K44" s="4" t="s">
        <v>14</v>
      </c>
      <c r="L44" s="4" t="s">
        <v>24</v>
      </c>
      <c r="M44" s="4" t="s">
        <v>160</v>
      </c>
      <c r="N44" s="4" t="s">
        <v>16</v>
      </c>
      <c r="O44" s="1" t="str">
        <f>TEXT(salesdata[[#This Row],[Order_Date]],"mmm")</f>
        <v>Sep</v>
      </c>
      <c r="P44" s="1">
        <f>YEAR(salesdata[[#This Row],[Order_Date]])</f>
        <v>2023</v>
      </c>
      <c r="Q44" s="1" t="str">
        <f t="shared" si="0"/>
        <v>Q3</v>
      </c>
    </row>
    <row r="45" spans="1:17" x14ac:dyDescent="0.3">
      <c r="A45" s="1">
        <v>10044</v>
      </c>
      <c r="B45" s="1" t="s">
        <v>171</v>
      </c>
      <c r="C45" s="1" t="s">
        <v>172</v>
      </c>
      <c r="D45" s="1" t="s">
        <v>42</v>
      </c>
      <c r="E45" s="1" t="s">
        <v>13</v>
      </c>
      <c r="F45" s="1">
        <v>10</v>
      </c>
      <c r="G45" s="7">
        <v>25000</v>
      </c>
      <c r="H45" s="3">
        <v>11</v>
      </c>
      <c r="I45" s="2">
        <f>(salesdata[[#This Row],[Discount]]/100)</f>
        <v>0.11</v>
      </c>
      <c r="J45" s="9">
        <v>222500</v>
      </c>
      <c r="K45" s="5" t="s">
        <v>85</v>
      </c>
      <c r="L45" s="5" t="s">
        <v>15</v>
      </c>
      <c r="M45" s="5" t="s">
        <v>40</v>
      </c>
      <c r="N45" s="5" t="s">
        <v>20</v>
      </c>
      <c r="O45" s="1" t="str">
        <f>TEXT(salesdata[[#This Row],[Order_Date]],"mmm")</f>
        <v>May</v>
      </c>
      <c r="P45" s="1">
        <f>YEAR(salesdata[[#This Row],[Order_Date]])</f>
        <v>2023</v>
      </c>
      <c r="Q45" s="1" t="str">
        <f t="shared" si="0"/>
        <v>Q2</v>
      </c>
    </row>
    <row r="46" spans="1:17" x14ac:dyDescent="0.3">
      <c r="A46" s="1">
        <v>10045</v>
      </c>
      <c r="B46" s="1" t="s">
        <v>173</v>
      </c>
      <c r="C46" s="1" t="s">
        <v>174</v>
      </c>
      <c r="D46" s="1" t="s">
        <v>17</v>
      </c>
      <c r="E46" s="1" t="s">
        <v>13</v>
      </c>
      <c r="F46" s="1">
        <v>5</v>
      </c>
      <c r="G46" s="7">
        <v>2000</v>
      </c>
      <c r="H46" s="3">
        <v>11</v>
      </c>
      <c r="I46" s="2">
        <f>(salesdata[[#This Row],[Discount]]/100)</f>
        <v>0.11</v>
      </c>
      <c r="J46" s="8">
        <v>8900</v>
      </c>
      <c r="K46" s="4" t="s">
        <v>23</v>
      </c>
      <c r="L46" s="4" t="s">
        <v>91</v>
      </c>
      <c r="M46" s="4" t="s">
        <v>19</v>
      </c>
      <c r="N46" s="4" t="s">
        <v>31</v>
      </c>
      <c r="O46" s="1" t="str">
        <f>TEXT(salesdata[[#This Row],[Order_Date]],"mmm")</f>
        <v>Dec</v>
      </c>
      <c r="P46" s="1">
        <f>YEAR(salesdata[[#This Row],[Order_Date]])</f>
        <v>2023</v>
      </c>
      <c r="Q46" s="1" t="str">
        <f t="shared" si="0"/>
        <v>Q4</v>
      </c>
    </row>
    <row r="47" spans="1:17" x14ac:dyDescent="0.3">
      <c r="A47" s="1">
        <v>10046</v>
      </c>
      <c r="B47" s="1" t="s">
        <v>175</v>
      </c>
      <c r="C47" s="1" t="s">
        <v>176</v>
      </c>
      <c r="D47" s="1" t="s">
        <v>119</v>
      </c>
      <c r="E47" s="1" t="s">
        <v>13</v>
      </c>
      <c r="F47" s="1">
        <v>10</v>
      </c>
      <c r="G47" s="7">
        <v>5000</v>
      </c>
      <c r="H47" s="3">
        <v>16</v>
      </c>
      <c r="I47" s="2">
        <f>(salesdata[[#This Row],[Discount]]/100)</f>
        <v>0.16</v>
      </c>
      <c r="J47" s="9">
        <v>42000</v>
      </c>
      <c r="K47" s="5" t="s">
        <v>88</v>
      </c>
      <c r="L47" s="5" t="s">
        <v>24</v>
      </c>
      <c r="M47" s="5" t="s">
        <v>81</v>
      </c>
      <c r="N47" s="5" t="s">
        <v>31</v>
      </c>
      <c r="O47" s="1" t="str">
        <f>TEXT(salesdata[[#This Row],[Order_Date]],"mmm")</f>
        <v>Mar</v>
      </c>
      <c r="P47" s="1">
        <f>YEAR(salesdata[[#This Row],[Order_Date]])</f>
        <v>2023</v>
      </c>
      <c r="Q47" s="1" t="str">
        <f t="shared" si="0"/>
        <v>Q1</v>
      </c>
    </row>
    <row r="48" spans="1:17" x14ac:dyDescent="0.3">
      <c r="A48" s="1">
        <v>10047</v>
      </c>
      <c r="B48" s="1" t="s">
        <v>177</v>
      </c>
      <c r="C48" s="1" t="s">
        <v>178</v>
      </c>
      <c r="D48" s="1" t="s">
        <v>29</v>
      </c>
      <c r="E48" s="1" t="s">
        <v>13</v>
      </c>
      <c r="F48" s="1">
        <v>3</v>
      </c>
      <c r="G48" s="7">
        <v>500</v>
      </c>
      <c r="H48" s="3">
        <v>9</v>
      </c>
      <c r="I48" s="2">
        <f>(salesdata[[#This Row],[Discount]]/100)</f>
        <v>0.09</v>
      </c>
      <c r="J48" s="8">
        <v>1365</v>
      </c>
      <c r="K48" s="4" t="s">
        <v>18</v>
      </c>
      <c r="L48" s="4" t="s">
        <v>98</v>
      </c>
      <c r="M48" s="4" t="s">
        <v>81</v>
      </c>
      <c r="N48" s="4" t="s">
        <v>20</v>
      </c>
      <c r="O48" s="1" t="str">
        <f>TEXT(salesdata[[#This Row],[Order_Date]],"mmm")</f>
        <v>Jun</v>
      </c>
      <c r="P48" s="1">
        <f>YEAR(salesdata[[#This Row],[Order_Date]])</f>
        <v>2023</v>
      </c>
      <c r="Q48" s="1" t="str">
        <f t="shared" si="0"/>
        <v>Q2</v>
      </c>
    </row>
    <row r="49" spans="1:17" x14ac:dyDescent="0.3">
      <c r="A49" s="1">
        <v>10048</v>
      </c>
      <c r="B49" s="1" t="s">
        <v>179</v>
      </c>
      <c r="C49" s="1" t="s">
        <v>180</v>
      </c>
      <c r="D49" s="1" t="s">
        <v>27</v>
      </c>
      <c r="E49" s="1" t="s">
        <v>28</v>
      </c>
      <c r="F49" s="1">
        <v>1</v>
      </c>
      <c r="G49" s="7">
        <v>7000</v>
      </c>
      <c r="H49" s="3">
        <v>9</v>
      </c>
      <c r="I49" s="2">
        <f>(salesdata[[#This Row],[Discount]]/100)</f>
        <v>0.09</v>
      </c>
      <c r="J49" s="9">
        <v>6370</v>
      </c>
      <c r="K49" s="5" t="s">
        <v>14</v>
      </c>
      <c r="L49" s="5" t="s">
        <v>91</v>
      </c>
      <c r="M49" s="5" t="s">
        <v>19</v>
      </c>
      <c r="N49" s="5" t="s">
        <v>31</v>
      </c>
      <c r="O49" s="1" t="str">
        <f>TEXT(salesdata[[#This Row],[Order_Date]],"mmm")</f>
        <v>Jul</v>
      </c>
      <c r="P49" s="1">
        <f>YEAR(salesdata[[#This Row],[Order_Date]])</f>
        <v>2023</v>
      </c>
      <c r="Q49" s="1" t="str">
        <f t="shared" si="0"/>
        <v>Q3</v>
      </c>
    </row>
    <row r="50" spans="1:17" x14ac:dyDescent="0.3">
      <c r="A50" s="1">
        <v>10049</v>
      </c>
      <c r="B50" s="1" t="s">
        <v>125</v>
      </c>
      <c r="C50" s="1" t="s">
        <v>181</v>
      </c>
      <c r="D50" s="1" t="s">
        <v>12</v>
      </c>
      <c r="E50" s="1" t="s">
        <v>13</v>
      </c>
      <c r="F50" s="1">
        <v>8</v>
      </c>
      <c r="G50" s="7">
        <v>50000</v>
      </c>
      <c r="H50" s="3">
        <v>18</v>
      </c>
      <c r="I50" s="2">
        <f>(salesdata[[#This Row],[Discount]]/100)</f>
        <v>0.18</v>
      </c>
      <c r="J50" s="8">
        <v>328000</v>
      </c>
      <c r="K50" s="4" t="s">
        <v>30</v>
      </c>
      <c r="L50" s="4" t="s">
        <v>91</v>
      </c>
      <c r="M50" s="4" t="s">
        <v>81</v>
      </c>
      <c r="N50" s="4" t="s">
        <v>16</v>
      </c>
      <c r="O50" s="1" t="str">
        <f>TEXT(salesdata[[#This Row],[Order_Date]],"mmm")</f>
        <v>Jul</v>
      </c>
      <c r="P50" s="1">
        <f>YEAR(salesdata[[#This Row],[Order_Date]])</f>
        <v>2023</v>
      </c>
      <c r="Q50" s="1" t="str">
        <f t="shared" si="0"/>
        <v>Q3</v>
      </c>
    </row>
    <row r="51" spans="1:17" x14ac:dyDescent="0.3">
      <c r="A51" s="1">
        <v>10050</v>
      </c>
      <c r="B51" s="1" t="s">
        <v>182</v>
      </c>
      <c r="C51" s="1" t="s">
        <v>183</v>
      </c>
      <c r="D51" s="1" t="s">
        <v>84</v>
      </c>
      <c r="E51" s="1" t="s">
        <v>28</v>
      </c>
      <c r="F51" s="1">
        <v>8</v>
      </c>
      <c r="G51" s="7">
        <v>15000</v>
      </c>
      <c r="H51" s="3">
        <v>7</v>
      </c>
      <c r="I51" s="2">
        <f>(salesdata[[#This Row],[Discount]]/100)</f>
        <v>7.0000000000000007E-2</v>
      </c>
      <c r="J51" s="9">
        <v>111600</v>
      </c>
      <c r="K51" s="5" t="s">
        <v>37</v>
      </c>
      <c r="L51" s="5" t="s">
        <v>15</v>
      </c>
      <c r="M51" s="5" t="s">
        <v>40</v>
      </c>
      <c r="N51" s="5" t="s">
        <v>34</v>
      </c>
      <c r="O51" s="1" t="str">
        <f>TEXT(salesdata[[#This Row],[Order_Date]],"mmm")</f>
        <v>Oct</v>
      </c>
      <c r="P51" s="1">
        <f>YEAR(salesdata[[#This Row],[Order_Date]])</f>
        <v>2023</v>
      </c>
      <c r="Q51" s="1" t="str">
        <f t="shared" si="0"/>
        <v>Q4</v>
      </c>
    </row>
    <row r="52" spans="1:17" x14ac:dyDescent="0.3">
      <c r="A52" s="1">
        <v>10051</v>
      </c>
      <c r="B52" s="1" t="s">
        <v>120</v>
      </c>
      <c r="C52" s="1" t="s">
        <v>184</v>
      </c>
      <c r="D52" s="1" t="s">
        <v>22</v>
      </c>
      <c r="E52" s="1" t="s">
        <v>13</v>
      </c>
      <c r="F52" s="1">
        <v>4</v>
      </c>
      <c r="G52" s="7">
        <v>1200</v>
      </c>
      <c r="H52" s="3">
        <v>6</v>
      </c>
      <c r="I52" s="2">
        <f>(salesdata[[#This Row],[Discount]]/100)</f>
        <v>0.06</v>
      </c>
      <c r="J52" s="8">
        <v>4512</v>
      </c>
      <c r="K52" s="4" t="s">
        <v>14</v>
      </c>
      <c r="L52" s="4" t="s">
        <v>98</v>
      </c>
      <c r="M52" s="4" t="s">
        <v>40</v>
      </c>
      <c r="N52" s="4" t="s">
        <v>16</v>
      </c>
      <c r="O52" s="1" t="str">
        <f>TEXT(salesdata[[#This Row],[Order_Date]],"mmm")</f>
        <v>Nov</v>
      </c>
      <c r="P52" s="1">
        <f>YEAR(salesdata[[#This Row],[Order_Date]])</f>
        <v>2023</v>
      </c>
      <c r="Q52" s="1" t="str">
        <f t="shared" si="0"/>
        <v>Q4</v>
      </c>
    </row>
    <row r="53" spans="1:17" x14ac:dyDescent="0.3">
      <c r="A53" s="1">
        <v>10052</v>
      </c>
      <c r="B53" s="1" t="s">
        <v>138</v>
      </c>
      <c r="C53" s="1" t="s">
        <v>185</v>
      </c>
      <c r="D53" s="1" t="s">
        <v>84</v>
      </c>
      <c r="E53" s="1" t="s">
        <v>28</v>
      </c>
      <c r="F53" s="1">
        <v>5</v>
      </c>
      <c r="G53" s="7">
        <v>15000</v>
      </c>
      <c r="H53" s="3">
        <v>6</v>
      </c>
      <c r="I53" s="2">
        <f>(salesdata[[#This Row],[Discount]]/100)</f>
        <v>0.06</v>
      </c>
      <c r="J53" s="9">
        <v>70500</v>
      </c>
      <c r="K53" s="5" t="s">
        <v>30</v>
      </c>
      <c r="L53" s="5" t="s">
        <v>91</v>
      </c>
      <c r="M53" s="5" t="s">
        <v>19</v>
      </c>
      <c r="N53" s="5" t="s">
        <v>34</v>
      </c>
      <c r="O53" s="1" t="str">
        <f>TEXT(salesdata[[#This Row],[Order_Date]],"mmm")</f>
        <v>Jun</v>
      </c>
      <c r="P53" s="1">
        <f>YEAR(salesdata[[#This Row],[Order_Date]])</f>
        <v>2023</v>
      </c>
      <c r="Q53" s="1" t="str">
        <f t="shared" si="0"/>
        <v>Q2</v>
      </c>
    </row>
    <row r="54" spans="1:17" x14ac:dyDescent="0.3">
      <c r="A54" s="1">
        <v>10053</v>
      </c>
      <c r="B54" s="1" t="s">
        <v>186</v>
      </c>
      <c r="C54" s="1" t="s">
        <v>187</v>
      </c>
      <c r="D54" s="1" t="s">
        <v>36</v>
      </c>
      <c r="E54" s="1" t="s">
        <v>13</v>
      </c>
      <c r="F54" s="1">
        <v>2</v>
      </c>
      <c r="G54" s="7">
        <v>8000</v>
      </c>
      <c r="H54" s="3">
        <v>15</v>
      </c>
      <c r="I54" s="2">
        <f>(salesdata[[#This Row],[Discount]]/100)</f>
        <v>0.15</v>
      </c>
      <c r="J54" s="8">
        <v>13600</v>
      </c>
      <c r="K54" s="4" t="s">
        <v>39</v>
      </c>
      <c r="L54" s="4" t="s">
        <v>98</v>
      </c>
      <c r="M54" s="4" t="s">
        <v>81</v>
      </c>
      <c r="N54" s="4" t="s">
        <v>34</v>
      </c>
      <c r="O54" s="1" t="str">
        <f>TEXT(salesdata[[#This Row],[Order_Date]],"mmm")</f>
        <v>Jul</v>
      </c>
      <c r="P54" s="1">
        <f>YEAR(salesdata[[#This Row],[Order_Date]])</f>
        <v>2023</v>
      </c>
      <c r="Q54" s="1" t="str">
        <f t="shared" si="0"/>
        <v>Q3</v>
      </c>
    </row>
    <row r="55" spans="1:17" x14ac:dyDescent="0.3">
      <c r="A55" s="1">
        <v>10054</v>
      </c>
      <c r="B55" s="1" t="s">
        <v>188</v>
      </c>
      <c r="C55" s="1" t="s">
        <v>189</v>
      </c>
      <c r="D55" s="1" t="s">
        <v>29</v>
      </c>
      <c r="E55" s="1" t="s">
        <v>13</v>
      </c>
      <c r="F55" s="1">
        <v>2</v>
      </c>
      <c r="G55" s="7">
        <v>500</v>
      </c>
      <c r="H55" s="3">
        <v>14</v>
      </c>
      <c r="I55" s="2">
        <f>(salesdata[[#This Row],[Discount]]/100)</f>
        <v>0.14000000000000001</v>
      </c>
      <c r="J55" s="9">
        <v>860</v>
      </c>
      <c r="K55" s="5" t="s">
        <v>14</v>
      </c>
      <c r="L55" s="5" t="s">
        <v>15</v>
      </c>
      <c r="M55" s="5" t="s">
        <v>40</v>
      </c>
      <c r="N55" s="5" t="s">
        <v>34</v>
      </c>
      <c r="O55" s="1" t="str">
        <f>TEXT(salesdata[[#This Row],[Order_Date]],"mmm")</f>
        <v>Feb</v>
      </c>
      <c r="P55" s="1">
        <f>YEAR(salesdata[[#This Row],[Order_Date]])</f>
        <v>2023</v>
      </c>
      <c r="Q55" s="1" t="str">
        <f t="shared" si="0"/>
        <v>Q1</v>
      </c>
    </row>
    <row r="56" spans="1:17" x14ac:dyDescent="0.3">
      <c r="A56" s="1">
        <v>10055</v>
      </c>
      <c r="B56" s="1" t="s">
        <v>190</v>
      </c>
      <c r="C56" s="1" t="s">
        <v>191</v>
      </c>
      <c r="D56" s="1" t="s">
        <v>29</v>
      </c>
      <c r="E56" s="1" t="s">
        <v>13</v>
      </c>
      <c r="F56" s="1">
        <v>1</v>
      </c>
      <c r="G56" s="7">
        <v>500</v>
      </c>
      <c r="H56" s="3">
        <v>17</v>
      </c>
      <c r="I56" s="2">
        <f>(salesdata[[#This Row],[Discount]]/100)</f>
        <v>0.17</v>
      </c>
      <c r="J56" s="8">
        <v>415</v>
      </c>
      <c r="K56" s="4" t="s">
        <v>37</v>
      </c>
      <c r="L56" s="4" t="s">
        <v>91</v>
      </c>
      <c r="M56" s="4" t="s">
        <v>33</v>
      </c>
      <c r="N56" s="4" t="s">
        <v>16</v>
      </c>
      <c r="O56" s="1" t="str">
        <f>TEXT(salesdata[[#This Row],[Order_Date]],"mmm")</f>
        <v>Jan</v>
      </c>
      <c r="P56" s="1">
        <f>YEAR(salesdata[[#This Row],[Order_Date]])</f>
        <v>2023</v>
      </c>
      <c r="Q56" s="1" t="str">
        <f t="shared" si="0"/>
        <v>Q1</v>
      </c>
    </row>
    <row r="57" spans="1:17" x14ac:dyDescent="0.3">
      <c r="A57" s="1">
        <v>10056</v>
      </c>
      <c r="B57" s="1" t="s">
        <v>186</v>
      </c>
      <c r="C57" s="1" t="s">
        <v>192</v>
      </c>
      <c r="D57" s="1" t="s">
        <v>22</v>
      </c>
      <c r="E57" s="1" t="s">
        <v>13</v>
      </c>
      <c r="F57" s="1">
        <v>6</v>
      </c>
      <c r="G57" s="7">
        <v>1200</v>
      </c>
      <c r="H57" s="3">
        <v>19</v>
      </c>
      <c r="I57" s="2">
        <f>(salesdata[[#This Row],[Discount]]/100)</f>
        <v>0.19</v>
      </c>
      <c r="J57" s="9">
        <v>5832</v>
      </c>
      <c r="K57" s="5" t="s">
        <v>37</v>
      </c>
      <c r="L57" s="5" t="s">
        <v>35</v>
      </c>
      <c r="M57" s="5" t="s">
        <v>160</v>
      </c>
      <c r="N57" s="5" t="s">
        <v>31</v>
      </c>
      <c r="O57" s="1" t="str">
        <f>TEXT(salesdata[[#This Row],[Order_Date]],"mmm")</f>
        <v>Jul</v>
      </c>
      <c r="P57" s="1">
        <f>YEAR(salesdata[[#This Row],[Order_Date]])</f>
        <v>2023</v>
      </c>
      <c r="Q57" s="1" t="str">
        <f t="shared" si="0"/>
        <v>Q3</v>
      </c>
    </row>
    <row r="58" spans="1:17" x14ac:dyDescent="0.3">
      <c r="A58" s="1">
        <v>10057</v>
      </c>
      <c r="B58" s="1" t="s">
        <v>193</v>
      </c>
      <c r="C58" s="1" t="s">
        <v>194</v>
      </c>
      <c r="D58" s="1" t="s">
        <v>36</v>
      </c>
      <c r="E58" s="1" t="s">
        <v>13</v>
      </c>
      <c r="F58" s="1">
        <v>3</v>
      </c>
      <c r="G58" s="7">
        <v>8000</v>
      </c>
      <c r="H58" s="3">
        <v>4</v>
      </c>
      <c r="I58" s="2">
        <f>(salesdata[[#This Row],[Discount]]/100)</f>
        <v>0.04</v>
      </c>
      <c r="J58" s="8">
        <v>23040</v>
      </c>
      <c r="K58" s="4" t="s">
        <v>37</v>
      </c>
      <c r="L58" s="4" t="s">
        <v>15</v>
      </c>
      <c r="M58" s="4" t="s">
        <v>40</v>
      </c>
      <c r="N58" s="4" t="s">
        <v>31</v>
      </c>
      <c r="O58" s="1" t="str">
        <f>TEXT(salesdata[[#This Row],[Order_Date]],"mmm")</f>
        <v>Feb</v>
      </c>
      <c r="P58" s="1">
        <f>YEAR(salesdata[[#This Row],[Order_Date]])</f>
        <v>2023</v>
      </c>
      <c r="Q58" s="1" t="str">
        <f t="shared" si="0"/>
        <v>Q1</v>
      </c>
    </row>
    <row r="59" spans="1:17" x14ac:dyDescent="0.3">
      <c r="A59" s="1">
        <v>10058</v>
      </c>
      <c r="B59" s="1" t="s">
        <v>99</v>
      </c>
      <c r="C59" s="1" t="s">
        <v>195</v>
      </c>
      <c r="D59" s="1" t="s">
        <v>12</v>
      </c>
      <c r="E59" s="1" t="s">
        <v>13</v>
      </c>
      <c r="F59" s="1">
        <v>7</v>
      </c>
      <c r="G59" s="7">
        <v>50000</v>
      </c>
      <c r="H59" s="3">
        <v>5</v>
      </c>
      <c r="I59" s="2">
        <f>(salesdata[[#This Row],[Discount]]/100)</f>
        <v>0.05</v>
      </c>
      <c r="J59" s="9">
        <v>332500</v>
      </c>
      <c r="K59" s="5" t="s">
        <v>14</v>
      </c>
      <c r="L59" s="5" t="s">
        <v>15</v>
      </c>
      <c r="M59" s="5" t="s">
        <v>44</v>
      </c>
      <c r="N59" s="5" t="s">
        <v>34</v>
      </c>
      <c r="O59" s="1" t="str">
        <f>TEXT(salesdata[[#This Row],[Order_Date]],"mmm")</f>
        <v>Oct</v>
      </c>
      <c r="P59" s="1">
        <f>YEAR(salesdata[[#This Row],[Order_Date]])</f>
        <v>2023</v>
      </c>
      <c r="Q59" s="1" t="str">
        <f t="shared" si="0"/>
        <v>Q4</v>
      </c>
    </row>
    <row r="60" spans="1:17" x14ac:dyDescent="0.3">
      <c r="A60" s="1">
        <v>10059</v>
      </c>
      <c r="B60" s="1" t="s">
        <v>196</v>
      </c>
      <c r="C60" s="1" t="s">
        <v>197</v>
      </c>
      <c r="D60" s="1" t="s">
        <v>32</v>
      </c>
      <c r="E60" s="1" t="s">
        <v>28</v>
      </c>
      <c r="F60" s="1">
        <v>2</v>
      </c>
      <c r="G60" s="7">
        <v>3000</v>
      </c>
      <c r="H60" s="3">
        <v>7</v>
      </c>
      <c r="I60" s="2">
        <f>(salesdata[[#This Row],[Discount]]/100)</f>
        <v>7.0000000000000007E-2</v>
      </c>
      <c r="J60" s="8">
        <v>5580</v>
      </c>
      <c r="K60" s="4" t="s">
        <v>37</v>
      </c>
      <c r="L60" s="4" t="s">
        <v>24</v>
      </c>
      <c r="M60" s="4" t="s">
        <v>25</v>
      </c>
      <c r="N60" s="4" t="s">
        <v>34</v>
      </c>
      <c r="O60" s="1" t="str">
        <f>TEXT(salesdata[[#This Row],[Order_Date]],"mmm")</f>
        <v>Jul</v>
      </c>
      <c r="P60" s="1">
        <f>YEAR(salesdata[[#This Row],[Order_Date]])</f>
        <v>2023</v>
      </c>
      <c r="Q60" s="1" t="str">
        <f t="shared" si="0"/>
        <v>Q3</v>
      </c>
    </row>
    <row r="61" spans="1:17" x14ac:dyDescent="0.3">
      <c r="A61" s="1">
        <v>10060</v>
      </c>
      <c r="B61" s="1" t="s">
        <v>198</v>
      </c>
      <c r="C61" s="1" t="s">
        <v>199</v>
      </c>
      <c r="D61" s="1" t="s">
        <v>17</v>
      </c>
      <c r="E61" s="1" t="s">
        <v>13</v>
      </c>
      <c r="F61" s="1">
        <v>7</v>
      </c>
      <c r="G61" s="7">
        <v>2000</v>
      </c>
      <c r="H61" s="3">
        <v>12</v>
      </c>
      <c r="I61" s="2">
        <f>(salesdata[[#This Row],[Discount]]/100)</f>
        <v>0.12</v>
      </c>
      <c r="J61" s="9">
        <v>12320</v>
      </c>
      <c r="K61" s="5" t="s">
        <v>18</v>
      </c>
      <c r="L61" s="5" t="s">
        <v>98</v>
      </c>
      <c r="M61" s="5" t="s">
        <v>40</v>
      </c>
      <c r="N61" s="5" t="s">
        <v>31</v>
      </c>
      <c r="O61" s="1" t="str">
        <f>TEXT(salesdata[[#This Row],[Order_Date]],"mmm")</f>
        <v>Apr</v>
      </c>
      <c r="P61" s="1">
        <f>YEAR(salesdata[[#This Row],[Order_Date]])</f>
        <v>2023</v>
      </c>
      <c r="Q61" s="1" t="str">
        <f t="shared" si="0"/>
        <v>Q2</v>
      </c>
    </row>
    <row r="62" spans="1:17" x14ac:dyDescent="0.3">
      <c r="A62" s="1">
        <v>10061</v>
      </c>
      <c r="B62" s="1" t="s">
        <v>200</v>
      </c>
      <c r="C62" s="1" t="s">
        <v>201</v>
      </c>
      <c r="D62" s="1" t="s">
        <v>32</v>
      </c>
      <c r="E62" s="1" t="s">
        <v>28</v>
      </c>
      <c r="F62" s="1">
        <v>7</v>
      </c>
      <c r="G62" s="7">
        <v>3000</v>
      </c>
      <c r="H62" s="3">
        <v>0</v>
      </c>
      <c r="I62" s="2">
        <f>(salesdata[[#This Row],[Discount]]/100)</f>
        <v>0</v>
      </c>
      <c r="J62" s="8">
        <v>21000</v>
      </c>
      <c r="K62" s="4" t="s">
        <v>88</v>
      </c>
      <c r="L62" s="4" t="s">
        <v>91</v>
      </c>
      <c r="M62" s="4" t="s">
        <v>40</v>
      </c>
      <c r="N62" s="4" t="s">
        <v>34</v>
      </c>
      <c r="O62" s="1" t="str">
        <f>TEXT(salesdata[[#This Row],[Order_Date]],"mmm")</f>
        <v>Oct</v>
      </c>
      <c r="P62" s="1">
        <f>YEAR(salesdata[[#This Row],[Order_Date]])</f>
        <v>2023</v>
      </c>
      <c r="Q62" s="1" t="str">
        <f t="shared" si="0"/>
        <v>Q4</v>
      </c>
    </row>
    <row r="63" spans="1:17" x14ac:dyDescent="0.3">
      <c r="A63" s="1">
        <v>10062</v>
      </c>
      <c r="B63" s="1" t="s">
        <v>202</v>
      </c>
      <c r="C63" s="1" t="s">
        <v>203</v>
      </c>
      <c r="D63" s="1" t="s">
        <v>27</v>
      </c>
      <c r="E63" s="1" t="s">
        <v>28</v>
      </c>
      <c r="F63" s="1">
        <v>5</v>
      </c>
      <c r="G63" s="7">
        <v>7000</v>
      </c>
      <c r="H63" s="3">
        <v>1</v>
      </c>
      <c r="I63" s="2">
        <f>(salesdata[[#This Row],[Discount]]/100)</f>
        <v>0.01</v>
      </c>
      <c r="J63" s="9">
        <v>34650</v>
      </c>
      <c r="K63" s="5" t="s">
        <v>23</v>
      </c>
      <c r="L63" s="5" t="s">
        <v>35</v>
      </c>
      <c r="M63" s="5" t="s">
        <v>44</v>
      </c>
      <c r="N63" s="5" t="s">
        <v>20</v>
      </c>
      <c r="O63" s="1" t="str">
        <f>TEXT(salesdata[[#This Row],[Order_Date]],"mmm")</f>
        <v>Mar</v>
      </c>
      <c r="P63" s="1">
        <f>YEAR(salesdata[[#This Row],[Order_Date]])</f>
        <v>2023</v>
      </c>
      <c r="Q63" s="1" t="str">
        <f t="shared" si="0"/>
        <v>Q1</v>
      </c>
    </row>
    <row r="64" spans="1:17" x14ac:dyDescent="0.3">
      <c r="A64" s="1">
        <v>10063</v>
      </c>
      <c r="B64" s="1" t="s">
        <v>204</v>
      </c>
      <c r="C64" s="1" t="s">
        <v>205</v>
      </c>
      <c r="D64" s="1" t="s">
        <v>27</v>
      </c>
      <c r="E64" s="1" t="s">
        <v>28</v>
      </c>
      <c r="F64" s="1">
        <v>4</v>
      </c>
      <c r="G64" s="7">
        <v>7000</v>
      </c>
      <c r="H64" s="3">
        <v>6</v>
      </c>
      <c r="I64" s="2">
        <f>(salesdata[[#This Row],[Discount]]/100)</f>
        <v>0.06</v>
      </c>
      <c r="J64" s="8">
        <v>26320</v>
      </c>
      <c r="K64" s="4" t="s">
        <v>30</v>
      </c>
      <c r="L64" s="4" t="s">
        <v>98</v>
      </c>
      <c r="M64" s="4" t="s">
        <v>44</v>
      </c>
      <c r="N64" s="4" t="s">
        <v>31</v>
      </c>
      <c r="O64" s="1" t="str">
        <f>TEXT(salesdata[[#This Row],[Order_Date]],"mmm")</f>
        <v>Nov</v>
      </c>
      <c r="P64" s="1">
        <f>YEAR(salesdata[[#This Row],[Order_Date]])</f>
        <v>2023</v>
      </c>
      <c r="Q64" s="1" t="str">
        <f t="shared" si="0"/>
        <v>Q4</v>
      </c>
    </row>
    <row r="65" spans="1:17" x14ac:dyDescent="0.3">
      <c r="A65" s="1">
        <v>10064</v>
      </c>
      <c r="B65" s="1" t="s">
        <v>206</v>
      </c>
      <c r="C65" s="1" t="s">
        <v>207</v>
      </c>
      <c r="D65" s="1" t="s">
        <v>12</v>
      </c>
      <c r="E65" s="1" t="s">
        <v>13</v>
      </c>
      <c r="F65" s="1">
        <v>1</v>
      </c>
      <c r="G65" s="7">
        <v>50000</v>
      </c>
      <c r="H65" s="3">
        <v>2</v>
      </c>
      <c r="I65" s="2">
        <f>(salesdata[[#This Row],[Discount]]/100)</f>
        <v>0.02</v>
      </c>
      <c r="J65" s="9">
        <v>49000</v>
      </c>
      <c r="K65" s="5" t="s">
        <v>39</v>
      </c>
      <c r="L65" s="5" t="s">
        <v>98</v>
      </c>
      <c r="M65" s="5" t="s">
        <v>25</v>
      </c>
      <c r="N65" s="5" t="s">
        <v>31</v>
      </c>
      <c r="O65" s="1" t="str">
        <f>TEXT(salesdata[[#This Row],[Order_Date]],"mmm")</f>
        <v>Mar</v>
      </c>
      <c r="P65" s="1">
        <f>YEAR(salesdata[[#This Row],[Order_Date]])</f>
        <v>2023</v>
      </c>
      <c r="Q65" s="1" t="str">
        <f t="shared" si="0"/>
        <v>Q1</v>
      </c>
    </row>
    <row r="66" spans="1:17" x14ac:dyDescent="0.3">
      <c r="A66" s="1">
        <v>10065</v>
      </c>
      <c r="B66" s="1" t="s">
        <v>208</v>
      </c>
      <c r="C66" s="1" t="s">
        <v>209</v>
      </c>
      <c r="D66" s="1" t="s">
        <v>29</v>
      </c>
      <c r="E66" s="1" t="s">
        <v>13</v>
      </c>
      <c r="F66" s="1">
        <v>10</v>
      </c>
      <c r="G66" s="7">
        <v>500</v>
      </c>
      <c r="H66" s="3">
        <v>20</v>
      </c>
      <c r="I66" s="2">
        <f>(salesdata[[#This Row],[Discount]]/100)</f>
        <v>0.2</v>
      </c>
      <c r="J66" s="8">
        <v>4000</v>
      </c>
      <c r="K66" s="4" t="s">
        <v>39</v>
      </c>
      <c r="L66" s="4" t="s">
        <v>24</v>
      </c>
      <c r="M66" s="4" t="s">
        <v>44</v>
      </c>
      <c r="N66" s="4" t="s">
        <v>34</v>
      </c>
      <c r="O66" s="1" t="str">
        <f>TEXT(salesdata[[#This Row],[Order_Date]],"mmm")</f>
        <v>Feb</v>
      </c>
      <c r="P66" s="1">
        <f>YEAR(salesdata[[#This Row],[Order_Date]])</f>
        <v>2023</v>
      </c>
      <c r="Q66" s="1" t="str">
        <f t="shared" ref="Q66:Q129" si="1">"Q"&amp;ROUNDUP(MONTH(B66)/3,0)</f>
        <v>Q1</v>
      </c>
    </row>
    <row r="67" spans="1:17" x14ac:dyDescent="0.3">
      <c r="A67" s="1">
        <v>10066</v>
      </c>
      <c r="B67" s="1" t="s">
        <v>210</v>
      </c>
      <c r="C67" s="1" t="s">
        <v>211</v>
      </c>
      <c r="D67" s="1" t="s">
        <v>42</v>
      </c>
      <c r="E67" s="1" t="s">
        <v>13</v>
      </c>
      <c r="F67" s="1">
        <v>10</v>
      </c>
      <c r="G67" s="7">
        <v>25000</v>
      </c>
      <c r="H67" s="3">
        <v>6</v>
      </c>
      <c r="I67" s="2">
        <f>(salesdata[[#This Row],[Discount]]/100)</f>
        <v>0.06</v>
      </c>
      <c r="J67" s="9">
        <v>235000</v>
      </c>
      <c r="K67" s="5" t="s">
        <v>18</v>
      </c>
      <c r="L67" s="5" t="s">
        <v>98</v>
      </c>
      <c r="M67" s="5" t="s">
        <v>25</v>
      </c>
      <c r="N67" s="5" t="s">
        <v>34</v>
      </c>
      <c r="O67" s="1" t="str">
        <f>TEXT(salesdata[[#This Row],[Order_Date]],"mmm")</f>
        <v>Nov</v>
      </c>
      <c r="P67" s="1">
        <f>YEAR(salesdata[[#This Row],[Order_Date]])</f>
        <v>2023</v>
      </c>
      <c r="Q67" s="1" t="str">
        <f t="shared" si="1"/>
        <v>Q4</v>
      </c>
    </row>
    <row r="68" spans="1:17" x14ac:dyDescent="0.3">
      <c r="A68" s="1">
        <v>10067</v>
      </c>
      <c r="B68" s="1" t="s">
        <v>212</v>
      </c>
      <c r="C68" s="1" t="s">
        <v>213</v>
      </c>
      <c r="D68" s="1" t="s">
        <v>84</v>
      </c>
      <c r="E68" s="1" t="s">
        <v>28</v>
      </c>
      <c r="F68" s="1">
        <v>10</v>
      </c>
      <c r="G68" s="7">
        <v>15000</v>
      </c>
      <c r="H68" s="3">
        <v>5</v>
      </c>
      <c r="I68" s="2">
        <f>(salesdata[[#This Row],[Discount]]/100)</f>
        <v>0.05</v>
      </c>
      <c r="J68" s="8">
        <v>142500</v>
      </c>
      <c r="K68" s="4" t="s">
        <v>23</v>
      </c>
      <c r="L68" s="4" t="s">
        <v>24</v>
      </c>
      <c r="M68" s="4" t="s">
        <v>81</v>
      </c>
      <c r="N68" s="4" t="s">
        <v>16</v>
      </c>
      <c r="O68" s="1" t="str">
        <f>TEXT(salesdata[[#This Row],[Order_Date]],"mmm")</f>
        <v>Oct</v>
      </c>
      <c r="P68" s="1">
        <f>YEAR(salesdata[[#This Row],[Order_Date]])</f>
        <v>2023</v>
      </c>
      <c r="Q68" s="1" t="str">
        <f t="shared" si="1"/>
        <v>Q4</v>
      </c>
    </row>
    <row r="69" spans="1:17" x14ac:dyDescent="0.3">
      <c r="A69" s="1">
        <v>10068</v>
      </c>
      <c r="B69" s="1" t="s">
        <v>175</v>
      </c>
      <c r="C69" s="1" t="s">
        <v>214</v>
      </c>
      <c r="D69" s="1" t="s">
        <v>42</v>
      </c>
      <c r="E69" s="1" t="s">
        <v>13</v>
      </c>
      <c r="F69" s="1">
        <v>6</v>
      </c>
      <c r="G69" s="7">
        <v>25000</v>
      </c>
      <c r="H69" s="3">
        <v>1</v>
      </c>
      <c r="I69" s="2">
        <f>(salesdata[[#This Row],[Discount]]/100)</f>
        <v>0.01</v>
      </c>
      <c r="J69" s="9">
        <v>148500</v>
      </c>
      <c r="K69" s="5" t="s">
        <v>37</v>
      </c>
      <c r="L69" s="5" t="s">
        <v>35</v>
      </c>
      <c r="M69" s="5" t="s">
        <v>25</v>
      </c>
      <c r="N69" s="5" t="s">
        <v>34</v>
      </c>
      <c r="O69" s="1" t="str">
        <f>TEXT(salesdata[[#This Row],[Order_Date]],"mmm")</f>
        <v>Mar</v>
      </c>
      <c r="P69" s="1">
        <f>YEAR(salesdata[[#This Row],[Order_Date]])</f>
        <v>2023</v>
      </c>
      <c r="Q69" s="1" t="str">
        <f t="shared" si="1"/>
        <v>Q1</v>
      </c>
    </row>
    <row r="70" spans="1:17" x14ac:dyDescent="0.3">
      <c r="A70" s="1">
        <v>10069</v>
      </c>
      <c r="B70" s="1" t="s">
        <v>96</v>
      </c>
      <c r="C70" s="1" t="s">
        <v>215</v>
      </c>
      <c r="D70" s="1" t="s">
        <v>22</v>
      </c>
      <c r="E70" s="1" t="s">
        <v>13</v>
      </c>
      <c r="F70" s="1">
        <v>10</v>
      </c>
      <c r="G70" s="7">
        <v>1200</v>
      </c>
      <c r="H70" s="3">
        <v>9</v>
      </c>
      <c r="I70" s="2">
        <f>(salesdata[[#This Row],[Discount]]/100)</f>
        <v>0.09</v>
      </c>
      <c r="J70" s="8">
        <v>10920</v>
      </c>
      <c r="K70" s="4" t="s">
        <v>37</v>
      </c>
      <c r="L70" s="4" t="s">
        <v>24</v>
      </c>
      <c r="M70" s="4" t="s">
        <v>160</v>
      </c>
      <c r="N70" s="4" t="s">
        <v>34</v>
      </c>
      <c r="O70" s="1" t="str">
        <f>TEXT(salesdata[[#This Row],[Order_Date]],"mmm")</f>
        <v>Dec</v>
      </c>
      <c r="P70" s="1">
        <f>YEAR(salesdata[[#This Row],[Order_Date]])</f>
        <v>2023</v>
      </c>
      <c r="Q70" s="1" t="str">
        <f t="shared" si="1"/>
        <v>Q4</v>
      </c>
    </row>
    <row r="71" spans="1:17" x14ac:dyDescent="0.3">
      <c r="A71" s="1">
        <v>10070</v>
      </c>
      <c r="B71" s="1" t="s">
        <v>216</v>
      </c>
      <c r="C71" s="1" t="s">
        <v>217</v>
      </c>
      <c r="D71" s="1" t="s">
        <v>42</v>
      </c>
      <c r="E71" s="1" t="s">
        <v>13</v>
      </c>
      <c r="F71" s="1">
        <v>7</v>
      </c>
      <c r="G71" s="7">
        <v>25000</v>
      </c>
      <c r="H71" s="3">
        <v>8</v>
      </c>
      <c r="I71" s="2">
        <f>(salesdata[[#This Row],[Discount]]/100)</f>
        <v>0.08</v>
      </c>
      <c r="J71" s="9">
        <v>161000</v>
      </c>
      <c r="K71" s="5" t="s">
        <v>88</v>
      </c>
      <c r="L71" s="5" t="s">
        <v>15</v>
      </c>
      <c r="M71" s="5" t="s">
        <v>25</v>
      </c>
      <c r="N71" s="5" t="s">
        <v>16</v>
      </c>
      <c r="O71" s="1" t="str">
        <f>TEXT(salesdata[[#This Row],[Order_Date]],"mmm")</f>
        <v>Sep</v>
      </c>
      <c r="P71" s="1">
        <f>YEAR(salesdata[[#This Row],[Order_Date]])</f>
        <v>2023</v>
      </c>
      <c r="Q71" s="1" t="str">
        <f t="shared" si="1"/>
        <v>Q3</v>
      </c>
    </row>
    <row r="72" spans="1:17" x14ac:dyDescent="0.3">
      <c r="A72" s="1">
        <v>10071</v>
      </c>
      <c r="B72" s="1" t="s">
        <v>218</v>
      </c>
      <c r="C72" s="1" t="s">
        <v>219</v>
      </c>
      <c r="D72" s="1" t="s">
        <v>119</v>
      </c>
      <c r="E72" s="1" t="s">
        <v>13</v>
      </c>
      <c r="F72" s="1">
        <v>4</v>
      </c>
      <c r="G72" s="7">
        <v>5000</v>
      </c>
      <c r="H72" s="3">
        <v>14</v>
      </c>
      <c r="I72" s="2">
        <f>(salesdata[[#This Row],[Discount]]/100)</f>
        <v>0.14000000000000001</v>
      </c>
      <c r="J72" s="8">
        <v>17200</v>
      </c>
      <c r="K72" s="4" t="s">
        <v>37</v>
      </c>
      <c r="L72" s="4" t="s">
        <v>15</v>
      </c>
      <c r="M72" s="4" t="s">
        <v>81</v>
      </c>
      <c r="N72" s="4" t="s">
        <v>34</v>
      </c>
      <c r="O72" s="1" t="str">
        <f>TEXT(salesdata[[#This Row],[Order_Date]],"mmm")</f>
        <v>Nov</v>
      </c>
      <c r="P72" s="1">
        <f>YEAR(salesdata[[#This Row],[Order_Date]])</f>
        <v>2023</v>
      </c>
      <c r="Q72" s="1" t="str">
        <f t="shared" si="1"/>
        <v>Q4</v>
      </c>
    </row>
    <row r="73" spans="1:17" x14ac:dyDescent="0.3">
      <c r="A73" s="1">
        <v>10072</v>
      </c>
      <c r="B73" s="1" t="s">
        <v>220</v>
      </c>
      <c r="C73" s="1" t="s">
        <v>221</v>
      </c>
      <c r="D73" s="1" t="s">
        <v>29</v>
      </c>
      <c r="E73" s="1" t="s">
        <v>13</v>
      </c>
      <c r="F73" s="1">
        <v>4</v>
      </c>
      <c r="G73" s="7">
        <v>500</v>
      </c>
      <c r="H73" s="3">
        <v>0</v>
      </c>
      <c r="I73" s="2">
        <f>(salesdata[[#This Row],[Discount]]/100)</f>
        <v>0</v>
      </c>
      <c r="J73" s="9">
        <v>2000</v>
      </c>
      <c r="K73" s="5" t="s">
        <v>37</v>
      </c>
      <c r="L73" s="5" t="s">
        <v>98</v>
      </c>
      <c r="M73" s="5" t="s">
        <v>40</v>
      </c>
      <c r="N73" s="5" t="s">
        <v>34</v>
      </c>
      <c r="O73" s="1" t="str">
        <f>TEXT(salesdata[[#This Row],[Order_Date]],"mmm")</f>
        <v>Feb</v>
      </c>
      <c r="P73" s="1">
        <f>YEAR(salesdata[[#This Row],[Order_Date]])</f>
        <v>2023</v>
      </c>
      <c r="Q73" s="1" t="str">
        <f t="shared" si="1"/>
        <v>Q1</v>
      </c>
    </row>
    <row r="74" spans="1:17" x14ac:dyDescent="0.3">
      <c r="A74" s="1">
        <v>10073</v>
      </c>
      <c r="B74" s="1" t="s">
        <v>222</v>
      </c>
      <c r="C74" s="1" t="s">
        <v>223</v>
      </c>
      <c r="D74" s="1" t="s">
        <v>27</v>
      </c>
      <c r="E74" s="1" t="s">
        <v>28</v>
      </c>
      <c r="F74" s="1">
        <v>1</v>
      </c>
      <c r="G74" s="7">
        <v>7000</v>
      </c>
      <c r="H74" s="3">
        <v>8</v>
      </c>
      <c r="I74" s="2">
        <f>(salesdata[[#This Row],[Discount]]/100)</f>
        <v>0.08</v>
      </c>
      <c r="J74" s="8">
        <v>6440</v>
      </c>
      <c r="K74" s="4" t="s">
        <v>37</v>
      </c>
      <c r="L74" s="4" t="s">
        <v>15</v>
      </c>
      <c r="M74" s="4" t="s">
        <v>33</v>
      </c>
      <c r="N74" s="4" t="s">
        <v>31</v>
      </c>
      <c r="O74" s="1" t="str">
        <f>TEXT(salesdata[[#This Row],[Order_Date]],"mmm")</f>
        <v>Jan</v>
      </c>
      <c r="P74" s="1">
        <f>YEAR(salesdata[[#This Row],[Order_Date]])</f>
        <v>2023</v>
      </c>
      <c r="Q74" s="1" t="str">
        <f t="shared" si="1"/>
        <v>Q1</v>
      </c>
    </row>
    <row r="75" spans="1:17" x14ac:dyDescent="0.3">
      <c r="A75" s="1">
        <v>10074</v>
      </c>
      <c r="B75" s="1" t="s">
        <v>224</v>
      </c>
      <c r="C75" s="1" t="s">
        <v>225</v>
      </c>
      <c r="D75" s="1" t="s">
        <v>17</v>
      </c>
      <c r="E75" s="1" t="s">
        <v>13</v>
      </c>
      <c r="F75" s="1">
        <v>10</v>
      </c>
      <c r="G75" s="7">
        <v>2000</v>
      </c>
      <c r="H75" s="3">
        <v>10</v>
      </c>
      <c r="I75" s="2">
        <f>(salesdata[[#This Row],[Discount]]/100)</f>
        <v>0.1</v>
      </c>
      <c r="J75" s="9">
        <v>18000</v>
      </c>
      <c r="K75" s="5" t="s">
        <v>23</v>
      </c>
      <c r="L75" s="5" t="s">
        <v>35</v>
      </c>
      <c r="M75" s="5" t="s">
        <v>33</v>
      </c>
      <c r="N75" s="5" t="s">
        <v>16</v>
      </c>
      <c r="O75" s="1" t="str">
        <f>TEXT(salesdata[[#This Row],[Order_Date]],"mmm")</f>
        <v>Apr</v>
      </c>
      <c r="P75" s="1">
        <f>YEAR(salesdata[[#This Row],[Order_Date]])</f>
        <v>2023</v>
      </c>
      <c r="Q75" s="1" t="str">
        <f t="shared" si="1"/>
        <v>Q2</v>
      </c>
    </row>
    <row r="76" spans="1:17" x14ac:dyDescent="0.3">
      <c r="A76" s="1">
        <v>10075</v>
      </c>
      <c r="B76" s="1" t="s">
        <v>226</v>
      </c>
      <c r="C76" s="1" t="s">
        <v>227</v>
      </c>
      <c r="D76" s="1" t="s">
        <v>12</v>
      </c>
      <c r="E76" s="1" t="s">
        <v>13</v>
      </c>
      <c r="F76" s="1">
        <v>3</v>
      </c>
      <c r="G76" s="7">
        <v>50000</v>
      </c>
      <c r="H76" s="3">
        <v>8</v>
      </c>
      <c r="I76" s="2">
        <f>(salesdata[[#This Row],[Discount]]/100)</f>
        <v>0.08</v>
      </c>
      <c r="J76" s="8">
        <v>138000</v>
      </c>
      <c r="K76" s="4" t="s">
        <v>88</v>
      </c>
      <c r="L76" s="4" t="s">
        <v>15</v>
      </c>
      <c r="M76" s="4" t="s">
        <v>25</v>
      </c>
      <c r="N76" s="4" t="s">
        <v>20</v>
      </c>
      <c r="O76" s="1" t="str">
        <f>TEXT(salesdata[[#This Row],[Order_Date]],"mmm")</f>
        <v>Sep</v>
      </c>
      <c r="P76" s="1">
        <f>YEAR(salesdata[[#This Row],[Order_Date]])</f>
        <v>2023</v>
      </c>
      <c r="Q76" s="1" t="str">
        <f t="shared" si="1"/>
        <v>Q3</v>
      </c>
    </row>
    <row r="77" spans="1:17" x14ac:dyDescent="0.3">
      <c r="A77" s="1">
        <v>10076</v>
      </c>
      <c r="B77" s="1" t="s">
        <v>228</v>
      </c>
      <c r="C77" s="1" t="s">
        <v>229</v>
      </c>
      <c r="D77" s="1" t="s">
        <v>42</v>
      </c>
      <c r="E77" s="1" t="s">
        <v>13</v>
      </c>
      <c r="F77" s="1">
        <v>3</v>
      </c>
      <c r="G77" s="7">
        <v>25000</v>
      </c>
      <c r="H77" s="3">
        <v>3</v>
      </c>
      <c r="I77" s="2">
        <f>(salesdata[[#This Row],[Discount]]/100)</f>
        <v>0.03</v>
      </c>
      <c r="J77" s="9">
        <v>72750</v>
      </c>
      <c r="K77" s="5" t="s">
        <v>18</v>
      </c>
      <c r="L77" s="5" t="s">
        <v>91</v>
      </c>
      <c r="M77" s="5" t="s">
        <v>25</v>
      </c>
      <c r="N77" s="5" t="s">
        <v>34</v>
      </c>
      <c r="O77" s="1" t="str">
        <f>TEXT(salesdata[[#This Row],[Order_Date]],"mmm")</f>
        <v>Jul</v>
      </c>
      <c r="P77" s="1">
        <f>YEAR(salesdata[[#This Row],[Order_Date]])</f>
        <v>2023</v>
      </c>
      <c r="Q77" s="1" t="str">
        <f t="shared" si="1"/>
        <v>Q3</v>
      </c>
    </row>
    <row r="78" spans="1:17" x14ac:dyDescent="0.3">
      <c r="A78" s="1">
        <v>10077</v>
      </c>
      <c r="B78" s="1" t="s">
        <v>79</v>
      </c>
      <c r="C78" s="1" t="s">
        <v>230</v>
      </c>
      <c r="D78" s="1" t="s">
        <v>27</v>
      </c>
      <c r="E78" s="1" t="s">
        <v>28</v>
      </c>
      <c r="F78" s="1">
        <v>8</v>
      </c>
      <c r="G78" s="7">
        <v>7000</v>
      </c>
      <c r="H78" s="3">
        <v>17</v>
      </c>
      <c r="I78" s="2">
        <f>(salesdata[[#This Row],[Discount]]/100)</f>
        <v>0.17</v>
      </c>
      <c r="J78" s="8">
        <v>46480</v>
      </c>
      <c r="K78" s="4" t="s">
        <v>18</v>
      </c>
      <c r="L78" s="4" t="s">
        <v>35</v>
      </c>
      <c r="M78" s="4" t="s">
        <v>44</v>
      </c>
      <c r="N78" s="4" t="s">
        <v>20</v>
      </c>
      <c r="O78" s="1" t="str">
        <f>TEXT(salesdata[[#This Row],[Order_Date]],"mmm")</f>
        <v>Dec</v>
      </c>
      <c r="P78" s="1">
        <f>YEAR(salesdata[[#This Row],[Order_Date]])</f>
        <v>2023</v>
      </c>
      <c r="Q78" s="1" t="str">
        <f t="shared" si="1"/>
        <v>Q4</v>
      </c>
    </row>
    <row r="79" spans="1:17" x14ac:dyDescent="0.3">
      <c r="A79" s="1">
        <v>10078</v>
      </c>
      <c r="B79" s="1" t="s">
        <v>231</v>
      </c>
      <c r="C79" s="1" t="s">
        <v>232</v>
      </c>
      <c r="D79" s="1" t="s">
        <v>27</v>
      </c>
      <c r="E79" s="1" t="s">
        <v>28</v>
      </c>
      <c r="F79" s="1">
        <v>2</v>
      </c>
      <c r="G79" s="7">
        <v>7000</v>
      </c>
      <c r="H79" s="3">
        <v>1</v>
      </c>
      <c r="I79" s="2">
        <f>(salesdata[[#This Row],[Discount]]/100)</f>
        <v>0.01</v>
      </c>
      <c r="J79" s="9">
        <v>13860</v>
      </c>
      <c r="K79" s="5" t="s">
        <v>88</v>
      </c>
      <c r="L79" s="5" t="s">
        <v>35</v>
      </c>
      <c r="M79" s="5" t="s">
        <v>33</v>
      </c>
      <c r="N79" s="5" t="s">
        <v>16</v>
      </c>
      <c r="O79" s="1" t="str">
        <f>TEXT(salesdata[[#This Row],[Order_Date]],"mmm")</f>
        <v>Dec</v>
      </c>
      <c r="P79" s="1">
        <f>YEAR(salesdata[[#This Row],[Order_Date]])</f>
        <v>2023</v>
      </c>
      <c r="Q79" s="1" t="str">
        <f t="shared" si="1"/>
        <v>Q4</v>
      </c>
    </row>
    <row r="80" spans="1:17" x14ac:dyDescent="0.3">
      <c r="A80" s="1">
        <v>10079</v>
      </c>
      <c r="B80" s="1" t="s">
        <v>233</v>
      </c>
      <c r="C80" s="1" t="s">
        <v>234</v>
      </c>
      <c r="D80" s="1" t="s">
        <v>42</v>
      </c>
      <c r="E80" s="1" t="s">
        <v>13</v>
      </c>
      <c r="F80" s="1">
        <v>10</v>
      </c>
      <c r="G80" s="7">
        <v>25000</v>
      </c>
      <c r="H80" s="3">
        <v>12</v>
      </c>
      <c r="I80" s="2">
        <f>(salesdata[[#This Row],[Discount]]/100)</f>
        <v>0.12</v>
      </c>
      <c r="J80" s="8">
        <v>220000</v>
      </c>
      <c r="K80" s="4" t="s">
        <v>30</v>
      </c>
      <c r="L80" s="4" t="s">
        <v>91</v>
      </c>
      <c r="M80" s="4" t="s">
        <v>40</v>
      </c>
      <c r="N80" s="4" t="s">
        <v>16</v>
      </c>
      <c r="O80" s="1" t="str">
        <f>TEXT(salesdata[[#This Row],[Order_Date]],"mmm")</f>
        <v>Dec</v>
      </c>
      <c r="P80" s="1">
        <f>YEAR(salesdata[[#This Row],[Order_Date]])</f>
        <v>2023</v>
      </c>
      <c r="Q80" s="1" t="str">
        <f t="shared" si="1"/>
        <v>Q4</v>
      </c>
    </row>
    <row r="81" spans="1:17" x14ac:dyDescent="0.3">
      <c r="A81" s="1">
        <v>10080</v>
      </c>
      <c r="B81" s="1" t="s">
        <v>235</v>
      </c>
      <c r="C81" s="1" t="s">
        <v>236</v>
      </c>
      <c r="D81" s="1" t="s">
        <v>22</v>
      </c>
      <c r="E81" s="1" t="s">
        <v>13</v>
      </c>
      <c r="F81" s="1">
        <v>8</v>
      </c>
      <c r="G81" s="7">
        <v>1200</v>
      </c>
      <c r="H81" s="3">
        <v>16</v>
      </c>
      <c r="I81" s="2">
        <f>(salesdata[[#This Row],[Discount]]/100)</f>
        <v>0.16</v>
      </c>
      <c r="J81" s="9">
        <v>8064</v>
      </c>
      <c r="K81" s="5" t="s">
        <v>39</v>
      </c>
      <c r="L81" s="5" t="s">
        <v>15</v>
      </c>
      <c r="M81" s="5" t="s">
        <v>19</v>
      </c>
      <c r="N81" s="5" t="s">
        <v>16</v>
      </c>
      <c r="O81" s="1" t="str">
        <f>TEXT(salesdata[[#This Row],[Order_Date]],"mmm")</f>
        <v>May</v>
      </c>
      <c r="P81" s="1">
        <f>YEAR(salesdata[[#This Row],[Order_Date]])</f>
        <v>2023</v>
      </c>
      <c r="Q81" s="1" t="str">
        <f t="shared" si="1"/>
        <v>Q2</v>
      </c>
    </row>
    <row r="82" spans="1:17" x14ac:dyDescent="0.3">
      <c r="A82" s="1">
        <v>10081</v>
      </c>
      <c r="B82" s="1" t="s">
        <v>237</v>
      </c>
      <c r="C82" s="1" t="s">
        <v>238</v>
      </c>
      <c r="D82" s="1" t="s">
        <v>29</v>
      </c>
      <c r="E82" s="1" t="s">
        <v>13</v>
      </c>
      <c r="F82" s="1">
        <v>4</v>
      </c>
      <c r="G82" s="7">
        <v>500</v>
      </c>
      <c r="H82" s="3">
        <v>0</v>
      </c>
      <c r="I82" s="2">
        <f>(salesdata[[#This Row],[Discount]]/100)</f>
        <v>0</v>
      </c>
      <c r="J82" s="8">
        <v>2000</v>
      </c>
      <c r="K82" s="4" t="s">
        <v>39</v>
      </c>
      <c r="L82" s="4" t="s">
        <v>24</v>
      </c>
      <c r="M82" s="4" t="s">
        <v>160</v>
      </c>
      <c r="N82" s="4" t="s">
        <v>34</v>
      </c>
      <c r="O82" s="1" t="str">
        <f>TEXT(salesdata[[#This Row],[Order_Date]],"mmm")</f>
        <v>Aug</v>
      </c>
      <c r="P82" s="1">
        <f>YEAR(salesdata[[#This Row],[Order_Date]])</f>
        <v>2023</v>
      </c>
      <c r="Q82" s="1" t="str">
        <f t="shared" si="1"/>
        <v>Q3</v>
      </c>
    </row>
    <row r="83" spans="1:17" x14ac:dyDescent="0.3">
      <c r="A83" s="1">
        <v>10082</v>
      </c>
      <c r="B83" s="1" t="s">
        <v>239</v>
      </c>
      <c r="C83" s="1" t="s">
        <v>240</v>
      </c>
      <c r="D83" s="1" t="s">
        <v>22</v>
      </c>
      <c r="E83" s="1" t="s">
        <v>13</v>
      </c>
      <c r="F83" s="1">
        <v>6</v>
      </c>
      <c r="G83" s="7">
        <v>1200</v>
      </c>
      <c r="H83" s="3">
        <v>16</v>
      </c>
      <c r="I83" s="2">
        <f>(salesdata[[#This Row],[Discount]]/100)</f>
        <v>0.16</v>
      </c>
      <c r="J83" s="9">
        <v>6048</v>
      </c>
      <c r="K83" s="5" t="s">
        <v>30</v>
      </c>
      <c r="L83" s="5" t="s">
        <v>35</v>
      </c>
      <c r="M83" s="5" t="s">
        <v>33</v>
      </c>
      <c r="N83" s="5" t="s">
        <v>31</v>
      </c>
      <c r="O83" s="1" t="str">
        <f>TEXT(salesdata[[#This Row],[Order_Date]],"mmm")</f>
        <v>Sep</v>
      </c>
      <c r="P83" s="1">
        <f>YEAR(salesdata[[#This Row],[Order_Date]])</f>
        <v>2023</v>
      </c>
      <c r="Q83" s="1" t="str">
        <f t="shared" si="1"/>
        <v>Q3</v>
      </c>
    </row>
    <row r="84" spans="1:17" x14ac:dyDescent="0.3">
      <c r="A84" s="1">
        <v>10083</v>
      </c>
      <c r="B84" s="1" t="s">
        <v>241</v>
      </c>
      <c r="C84" s="1" t="s">
        <v>242</v>
      </c>
      <c r="D84" s="1" t="s">
        <v>12</v>
      </c>
      <c r="E84" s="1" t="s">
        <v>13</v>
      </c>
      <c r="F84" s="1">
        <v>1</v>
      </c>
      <c r="G84" s="7">
        <v>50000</v>
      </c>
      <c r="H84" s="3">
        <v>0</v>
      </c>
      <c r="I84" s="2">
        <f>(salesdata[[#This Row],[Discount]]/100)</f>
        <v>0</v>
      </c>
      <c r="J84" s="8">
        <v>50000</v>
      </c>
      <c r="K84" s="4" t="s">
        <v>23</v>
      </c>
      <c r="L84" s="4" t="s">
        <v>35</v>
      </c>
      <c r="M84" s="4" t="s">
        <v>101</v>
      </c>
      <c r="N84" s="4" t="s">
        <v>34</v>
      </c>
      <c r="O84" s="1" t="str">
        <f>TEXT(salesdata[[#This Row],[Order_Date]],"mmm")</f>
        <v>Jun</v>
      </c>
      <c r="P84" s="1">
        <f>YEAR(salesdata[[#This Row],[Order_Date]])</f>
        <v>2023</v>
      </c>
      <c r="Q84" s="1" t="str">
        <f t="shared" si="1"/>
        <v>Q2</v>
      </c>
    </row>
    <row r="85" spans="1:17" x14ac:dyDescent="0.3">
      <c r="A85" s="1">
        <v>10084</v>
      </c>
      <c r="B85" s="1" t="s">
        <v>186</v>
      </c>
      <c r="C85" s="1" t="s">
        <v>243</v>
      </c>
      <c r="D85" s="1" t="s">
        <v>84</v>
      </c>
      <c r="E85" s="1" t="s">
        <v>28</v>
      </c>
      <c r="F85" s="1">
        <v>9</v>
      </c>
      <c r="G85" s="7">
        <v>15000</v>
      </c>
      <c r="H85" s="3">
        <v>15</v>
      </c>
      <c r="I85" s="2">
        <f>(salesdata[[#This Row],[Discount]]/100)</f>
        <v>0.15</v>
      </c>
      <c r="J85" s="9">
        <v>114750</v>
      </c>
      <c r="K85" s="5" t="s">
        <v>23</v>
      </c>
      <c r="L85" s="5" t="s">
        <v>15</v>
      </c>
      <c r="M85" s="5" t="s">
        <v>25</v>
      </c>
      <c r="N85" s="5" t="s">
        <v>16</v>
      </c>
      <c r="O85" s="1" t="str">
        <f>TEXT(salesdata[[#This Row],[Order_Date]],"mmm")</f>
        <v>Jul</v>
      </c>
      <c r="P85" s="1">
        <f>YEAR(salesdata[[#This Row],[Order_Date]])</f>
        <v>2023</v>
      </c>
      <c r="Q85" s="1" t="str">
        <f t="shared" si="1"/>
        <v>Q3</v>
      </c>
    </row>
    <row r="86" spans="1:17" x14ac:dyDescent="0.3">
      <c r="A86" s="1">
        <v>10085</v>
      </c>
      <c r="B86" s="1" t="s">
        <v>244</v>
      </c>
      <c r="C86" s="1" t="s">
        <v>245</v>
      </c>
      <c r="D86" s="1" t="s">
        <v>36</v>
      </c>
      <c r="E86" s="1" t="s">
        <v>13</v>
      </c>
      <c r="F86" s="1">
        <v>1</v>
      </c>
      <c r="G86" s="7">
        <v>8000</v>
      </c>
      <c r="H86" s="3">
        <v>20</v>
      </c>
      <c r="I86" s="2">
        <f>(salesdata[[#This Row],[Discount]]/100)</f>
        <v>0.2</v>
      </c>
      <c r="J86" s="8">
        <v>6400</v>
      </c>
      <c r="K86" s="4" t="s">
        <v>23</v>
      </c>
      <c r="L86" s="4" t="s">
        <v>15</v>
      </c>
      <c r="M86" s="4" t="s">
        <v>160</v>
      </c>
      <c r="N86" s="4" t="s">
        <v>20</v>
      </c>
      <c r="O86" s="1" t="str">
        <f>TEXT(salesdata[[#This Row],[Order_Date]],"mmm")</f>
        <v>Jul</v>
      </c>
      <c r="P86" s="1">
        <f>YEAR(salesdata[[#This Row],[Order_Date]])</f>
        <v>2023</v>
      </c>
      <c r="Q86" s="1" t="str">
        <f t="shared" si="1"/>
        <v>Q3</v>
      </c>
    </row>
    <row r="87" spans="1:17" x14ac:dyDescent="0.3">
      <c r="A87" s="1">
        <v>10086</v>
      </c>
      <c r="B87" s="1" t="s">
        <v>246</v>
      </c>
      <c r="C87" s="1" t="s">
        <v>247</v>
      </c>
      <c r="D87" s="1" t="s">
        <v>36</v>
      </c>
      <c r="E87" s="1" t="s">
        <v>13</v>
      </c>
      <c r="F87" s="1">
        <v>10</v>
      </c>
      <c r="G87" s="7">
        <v>8000</v>
      </c>
      <c r="H87" s="3">
        <v>3</v>
      </c>
      <c r="I87" s="2">
        <f>(salesdata[[#This Row],[Discount]]/100)</f>
        <v>0.03</v>
      </c>
      <c r="J87" s="9">
        <v>77600</v>
      </c>
      <c r="K87" s="5" t="s">
        <v>18</v>
      </c>
      <c r="L87" s="5" t="s">
        <v>35</v>
      </c>
      <c r="M87" s="5" t="s">
        <v>40</v>
      </c>
      <c r="N87" s="5" t="s">
        <v>31</v>
      </c>
      <c r="O87" s="1" t="str">
        <f>TEXT(salesdata[[#This Row],[Order_Date]],"mmm")</f>
        <v>Oct</v>
      </c>
      <c r="P87" s="1">
        <f>YEAR(salesdata[[#This Row],[Order_Date]])</f>
        <v>2023</v>
      </c>
      <c r="Q87" s="1" t="str">
        <f t="shared" si="1"/>
        <v>Q4</v>
      </c>
    </row>
    <row r="88" spans="1:17" x14ac:dyDescent="0.3">
      <c r="A88" s="1">
        <v>10087</v>
      </c>
      <c r="B88" s="1" t="s">
        <v>138</v>
      </c>
      <c r="C88" s="1" t="s">
        <v>248</v>
      </c>
      <c r="D88" s="1" t="s">
        <v>22</v>
      </c>
      <c r="E88" s="1" t="s">
        <v>13</v>
      </c>
      <c r="F88" s="1">
        <v>7</v>
      </c>
      <c r="G88" s="7">
        <v>1200</v>
      </c>
      <c r="H88" s="3">
        <v>19</v>
      </c>
      <c r="I88" s="2">
        <f>(salesdata[[#This Row],[Discount]]/100)</f>
        <v>0.19</v>
      </c>
      <c r="J88" s="8">
        <v>6804</v>
      </c>
      <c r="K88" s="4" t="s">
        <v>30</v>
      </c>
      <c r="L88" s="4" t="s">
        <v>35</v>
      </c>
      <c r="M88" s="4" t="s">
        <v>101</v>
      </c>
      <c r="N88" s="4" t="s">
        <v>34</v>
      </c>
      <c r="O88" s="1" t="str">
        <f>TEXT(salesdata[[#This Row],[Order_Date]],"mmm")</f>
        <v>Jun</v>
      </c>
      <c r="P88" s="1">
        <f>YEAR(salesdata[[#This Row],[Order_Date]])</f>
        <v>2023</v>
      </c>
      <c r="Q88" s="1" t="str">
        <f t="shared" si="1"/>
        <v>Q2</v>
      </c>
    </row>
    <row r="89" spans="1:17" x14ac:dyDescent="0.3">
      <c r="A89" s="1">
        <v>10088</v>
      </c>
      <c r="B89" s="1" t="s">
        <v>249</v>
      </c>
      <c r="C89" s="1" t="s">
        <v>250</v>
      </c>
      <c r="D89" s="1" t="s">
        <v>42</v>
      </c>
      <c r="E89" s="1" t="s">
        <v>13</v>
      </c>
      <c r="F89" s="1">
        <v>10</v>
      </c>
      <c r="G89" s="7">
        <v>25000</v>
      </c>
      <c r="H89" s="3">
        <v>12</v>
      </c>
      <c r="I89" s="2">
        <f>(salesdata[[#This Row],[Discount]]/100)</f>
        <v>0.12</v>
      </c>
      <c r="J89" s="9">
        <v>220000</v>
      </c>
      <c r="K89" s="5" t="s">
        <v>30</v>
      </c>
      <c r="L89" s="5" t="s">
        <v>35</v>
      </c>
      <c r="M89" s="5" t="s">
        <v>33</v>
      </c>
      <c r="N89" s="5" t="s">
        <v>20</v>
      </c>
      <c r="O89" s="1" t="str">
        <f>TEXT(salesdata[[#This Row],[Order_Date]],"mmm")</f>
        <v>Aug</v>
      </c>
      <c r="P89" s="1">
        <f>YEAR(salesdata[[#This Row],[Order_Date]])</f>
        <v>2023</v>
      </c>
      <c r="Q89" s="1" t="str">
        <f t="shared" si="1"/>
        <v>Q3</v>
      </c>
    </row>
    <row r="90" spans="1:17" x14ac:dyDescent="0.3">
      <c r="A90" s="1">
        <v>10089</v>
      </c>
      <c r="B90" s="1" t="s">
        <v>251</v>
      </c>
      <c r="C90" s="1" t="s">
        <v>252</v>
      </c>
      <c r="D90" s="1" t="s">
        <v>27</v>
      </c>
      <c r="E90" s="1" t="s">
        <v>28</v>
      </c>
      <c r="F90" s="1">
        <v>9</v>
      </c>
      <c r="G90" s="7">
        <v>7000</v>
      </c>
      <c r="H90" s="3">
        <v>7</v>
      </c>
      <c r="I90" s="2">
        <f>(salesdata[[#This Row],[Discount]]/100)</f>
        <v>7.0000000000000007E-2</v>
      </c>
      <c r="J90" s="8">
        <v>58590</v>
      </c>
      <c r="K90" s="4" t="s">
        <v>37</v>
      </c>
      <c r="L90" s="4" t="s">
        <v>24</v>
      </c>
      <c r="M90" s="4" t="s">
        <v>33</v>
      </c>
      <c r="N90" s="4" t="s">
        <v>20</v>
      </c>
      <c r="O90" s="1" t="str">
        <f>TEXT(salesdata[[#This Row],[Order_Date]],"mmm")</f>
        <v>May</v>
      </c>
      <c r="P90" s="1">
        <f>YEAR(salesdata[[#This Row],[Order_Date]])</f>
        <v>2023</v>
      </c>
      <c r="Q90" s="1" t="str">
        <f t="shared" si="1"/>
        <v>Q2</v>
      </c>
    </row>
    <row r="91" spans="1:17" x14ac:dyDescent="0.3">
      <c r="A91" s="1">
        <v>10090</v>
      </c>
      <c r="B91" s="1" t="s">
        <v>253</v>
      </c>
      <c r="C91" s="1" t="s">
        <v>254</v>
      </c>
      <c r="D91" s="1" t="s">
        <v>42</v>
      </c>
      <c r="E91" s="1" t="s">
        <v>13</v>
      </c>
      <c r="F91" s="1">
        <v>4</v>
      </c>
      <c r="G91" s="7">
        <v>25000</v>
      </c>
      <c r="H91" s="3">
        <v>2</v>
      </c>
      <c r="I91" s="2">
        <f>(salesdata[[#This Row],[Discount]]/100)</f>
        <v>0.02</v>
      </c>
      <c r="J91" s="9">
        <v>98000</v>
      </c>
      <c r="K91" s="5" t="s">
        <v>39</v>
      </c>
      <c r="L91" s="5" t="s">
        <v>15</v>
      </c>
      <c r="M91" s="5" t="s">
        <v>25</v>
      </c>
      <c r="N91" s="5" t="s">
        <v>34</v>
      </c>
      <c r="O91" s="1" t="str">
        <f>TEXT(salesdata[[#This Row],[Order_Date]],"mmm")</f>
        <v>Jan</v>
      </c>
      <c r="P91" s="1">
        <f>YEAR(salesdata[[#This Row],[Order_Date]])</f>
        <v>2023</v>
      </c>
      <c r="Q91" s="1" t="str">
        <f t="shared" si="1"/>
        <v>Q1</v>
      </c>
    </row>
    <row r="92" spans="1:17" x14ac:dyDescent="0.3">
      <c r="A92" s="1">
        <v>10091</v>
      </c>
      <c r="B92" s="1" t="s">
        <v>255</v>
      </c>
      <c r="C92" s="1" t="s">
        <v>256</v>
      </c>
      <c r="D92" s="1" t="s">
        <v>27</v>
      </c>
      <c r="E92" s="1" t="s">
        <v>28</v>
      </c>
      <c r="F92" s="1">
        <v>1</v>
      </c>
      <c r="G92" s="7">
        <v>7000</v>
      </c>
      <c r="H92" s="3">
        <v>0</v>
      </c>
      <c r="I92" s="2">
        <f>(salesdata[[#This Row],[Discount]]/100)</f>
        <v>0</v>
      </c>
      <c r="J92" s="8">
        <v>7000</v>
      </c>
      <c r="K92" s="4" t="s">
        <v>39</v>
      </c>
      <c r="L92" s="4" t="s">
        <v>91</v>
      </c>
      <c r="M92" s="4" t="s">
        <v>25</v>
      </c>
      <c r="N92" s="4" t="s">
        <v>20</v>
      </c>
      <c r="O92" s="1" t="str">
        <f>TEXT(salesdata[[#This Row],[Order_Date]],"mmm")</f>
        <v>Aug</v>
      </c>
      <c r="P92" s="1">
        <f>YEAR(salesdata[[#This Row],[Order_Date]])</f>
        <v>2023</v>
      </c>
      <c r="Q92" s="1" t="str">
        <f t="shared" si="1"/>
        <v>Q3</v>
      </c>
    </row>
    <row r="93" spans="1:17" x14ac:dyDescent="0.3">
      <c r="A93" s="1">
        <v>10092</v>
      </c>
      <c r="B93" s="1" t="s">
        <v>257</v>
      </c>
      <c r="C93" s="1" t="s">
        <v>258</v>
      </c>
      <c r="D93" s="1" t="s">
        <v>36</v>
      </c>
      <c r="E93" s="1" t="s">
        <v>13</v>
      </c>
      <c r="F93" s="1">
        <v>3</v>
      </c>
      <c r="G93" s="7">
        <v>8000</v>
      </c>
      <c r="H93" s="3">
        <v>2</v>
      </c>
      <c r="I93" s="2">
        <f>(salesdata[[#This Row],[Discount]]/100)</f>
        <v>0.02</v>
      </c>
      <c r="J93" s="9">
        <v>23520</v>
      </c>
      <c r="K93" s="5" t="s">
        <v>88</v>
      </c>
      <c r="L93" s="5" t="s">
        <v>15</v>
      </c>
      <c r="M93" s="5" t="s">
        <v>81</v>
      </c>
      <c r="N93" s="5" t="s">
        <v>20</v>
      </c>
      <c r="O93" s="1" t="str">
        <f>TEXT(salesdata[[#This Row],[Order_Date]],"mmm")</f>
        <v>Apr</v>
      </c>
      <c r="P93" s="1">
        <f>YEAR(salesdata[[#This Row],[Order_Date]])</f>
        <v>2023</v>
      </c>
      <c r="Q93" s="1" t="str">
        <f t="shared" si="1"/>
        <v>Q2</v>
      </c>
    </row>
    <row r="94" spans="1:17" x14ac:dyDescent="0.3">
      <c r="A94" s="1">
        <v>10093</v>
      </c>
      <c r="B94" s="1" t="s">
        <v>259</v>
      </c>
      <c r="C94" s="1" t="s">
        <v>260</v>
      </c>
      <c r="D94" s="1" t="s">
        <v>84</v>
      </c>
      <c r="E94" s="1" t="s">
        <v>28</v>
      </c>
      <c r="F94" s="1">
        <v>10</v>
      </c>
      <c r="G94" s="7">
        <v>15000</v>
      </c>
      <c r="H94" s="3">
        <v>15</v>
      </c>
      <c r="I94" s="2">
        <f>(salesdata[[#This Row],[Discount]]/100)</f>
        <v>0.15</v>
      </c>
      <c r="J94" s="8">
        <v>127500</v>
      </c>
      <c r="K94" s="4" t="s">
        <v>88</v>
      </c>
      <c r="L94" s="4" t="s">
        <v>15</v>
      </c>
      <c r="M94" s="4" t="s">
        <v>33</v>
      </c>
      <c r="N94" s="4" t="s">
        <v>16</v>
      </c>
      <c r="O94" s="1" t="str">
        <f>TEXT(salesdata[[#This Row],[Order_Date]],"mmm")</f>
        <v>Jun</v>
      </c>
      <c r="P94" s="1">
        <f>YEAR(salesdata[[#This Row],[Order_Date]])</f>
        <v>2023</v>
      </c>
      <c r="Q94" s="1" t="str">
        <f t="shared" si="1"/>
        <v>Q2</v>
      </c>
    </row>
    <row r="95" spans="1:17" x14ac:dyDescent="0.3">
      <c r="A95" s="1">
        <v>10094</v>
      </c>
      <c r="B95" s="1" t="s">
        <v>261</v>
      </c>
      <c r="C95" s="1" t="s">
        <v>262</v>
      </c>
      <c r="D95" s="1" t="s">
        <v>29</v>
      </c>
      <c r="E95" s="1" t="s">
        <v>13</v>
      </c>
      <c r="F95" s="1">
        <v>5</v>
      </c>
      <c r="G95" s="7">
        <v>500</v>
      </c>
      <c r="H95" s="3">
        <v>20</v>
      </c>
      <c r="I95" s="2">
        <f>(salesdata[[#This Row],[Discount]]/100)</f>
        <v>0.2</v>
      </c>
      <c r="J95" s="9">
        <v>2000</v>
      </c>
      <c r="K95" s="5" t="s">
        <v>85</v>
      </c>
      <c r="L95" s="5" t="s">
        <v>91</v>
      </c>
      <c r="M95" s="5" t="s">
        <v>33</v>
      </c>
      <c r="N95" s="5" t="s">
        <v>31</v>
      </c>
      <c r="O95" s="1" t="str">
        <f>TEXT(salesdata[[#This Row],[Order_Date]],"mmm")</f>
        <v>Aug</v>
      </c>
      <c r="P95" s="1">
        <f>YEAR(salesdata[[#This Row],[Order_Date]])</f>
        <v>2023</v>
      </c>
      <c r="Q95" s="1" t="str">
        <f t="shared" si="1"/>
        <v>Q3</v>
      </c>
    </row>
    <row r="96" spans="1:17" x14ac:dyDescent="0.3">
      <c r="A96" s="1">
        <v>10095</v>
      </c>
      <c r="B96" s="1" t="s">
        <v>263</v>
      </c>
      <c r="C96" s="1" t="s">
        <v>264</v>
      </c>
      <c r="D96" s="1" t="s">
        <v>36</v>
      </c>
      <c r="E96" s="1" t="s">
        <v>13</v>
      </c>
      <c r="F96" s="1">
        <v>10</v>
      </c>
      <c r="G96" s="7">
        <v>8000</v>
      </c>
      <c r="H96" s="3">
        <v>20</v>
      </c>
      <c r="I96" s="2">
        <f>(salesdata[[#This Row],[Discount]]/100)</f>
        <v>0.2</v>
      </c>
      <c r="J96" s="8">
        <v>64000</v>
      </c>
      <c r="K96" s="4" t="s">
        <v>23</v>
      </c>
      <c r="L96" s="4" t="s">
        <v>15</v>
      </c>
      <c r="M96" s="4" t="s">
        <v>19</v>
      </c>
      <c r="N96" s="4" t="s">
        <v>34</v>
      </c>
      <c r="O96" s="1" t="str">
        <f>TEXT(salesdata[[#This Row],[Order_Date]],"mmm")</f>
        <v>Apr</v>
      </c>
      <c r="P96" s="1">
        <f>YEAR(salesdata[[#This Row],[Order_Date]])</f>
        <v>2023</v>
      </c>
      <c r="Q96" s="1" t="str">
        <f t="shared" si="1"/>
        <v>Q2</v>
      </c>
    </row>
    <row r="97" spans="1:17" x14ac:dyDescent="0.3">
      <c r="A97" s="1">
        <v>10096</v>
      </c>
      <c r="B97" s="1" t="s">
        <v>265</v>
      </c>
      <c r="C97" s="1" t="s">
        <v>266</v>
      </c>
      <c r="D97" s="1" t="s">
        <v>119</v>
      </c>
      <c r="E97" s="1" t="s">
        <v>13</v>
      </c>
      <c r="F97" s="1">
        <v>5</v>
      </c>
      <c r="G97" s="7">
        <v>5000</v>
      </c>
      <c r="H97" s="3">
        <v>8</v>
      </c>
      <c r="I97" s="2">
        <f>(salesdata[[#This Row],[Discount]]/100)</f>
        <v>0.08</v>
      </c>
      <c r="J97" s="9">
        <v>23000</v>
      </c>
      <c r="K97" s="5" t="s">
        <v>18</v>
      </c>
      <c r="L97" s="5" t="s">
        <v>24</v>
      </c>
      <c r="M97" s="5" t="s">
        <v>33</v>
      </c>
      <c r="N97" s="5" t="s">
        <v>20</v>
      </c>
      <c r="O97" s="1" t="str">
        <f>TEXT(salesdata[[#This Row],[Order_Date]],"mmm")</f>
        <v>Sep</v>
      </c>
      <c r="P97" s="1">
        <f>YEAR(salesdata[[#This Row],[Order_Date]])</f>
        <v>2023</v>
      </c>
      <c r="Q97" s="1" t="str">
        <f t="shared" si="1"/>
        <v>Q3</v>
      </c>
    </row>
    <row r="98" spans="1:17" x14ac:dyDescent="0.3">
      <c r="A98" s="1">
        <v>10097</v>
      </c>
      <c r="B98" s="1" t="s">
        <v>267</v>
      </c>
      <c r="C98" s="1" t="s">
        <v>268</v>
      </c>
      <c r="D98" s="1" t="s">
        <v>36</v>
      </c>
      <c r="E98" s="1" t="s">
        <v>13</v>
      </c>
      <c r="F98" s="1">
        <v>3</v>
      </c>
      <c r="G98" s="7">
        <v>8000</v>
      </c>
      <c r="H98" s="3">
        <v>19</v>
      </c>
      <c r="I98" s="2">
        <f>(salesdata[[#This Row],[Discount]]/100)</f>
        <v>0.19</v>
      </c>
      <c r="J98" s="8">
        <v>19440</v>
      </c>
      <c r="K98" s="4" t="s">
        <v>88</v>
      </c>
      <c r="L98" s="4" t="s">
        <v>24</v>
      </c>
      <c r="M98" s="4" t="s">
        <v>81</v>
      </c>
      <c r="N98" s="4" t="s">
        <v>16</v>
      </c>
      <c r="O98" s="1" t="str">
        <f>TEXT(salesdata[[#This Row],[Order_Date]],"mmm")</f>
        <v>Nov</v>
      </c>
      <c r="P98" s="1">
        <f>YEAR(salesdata[[#This Row],[Order_Date]])</f>
        <v>2023</v>
      </c>
      <c r="Q98" s="1" t="str">
        <f t="shared" si="1"/>
        <v>Q4</v>
      </c>
    </row>
    <row r="99" spans="1:17" x14ac:dyDescent="0.3">
      <c r="A99" s="1">
        <v>10098</v>
      </c>
      <c r="B99" s="1" t="s">
        <v>269</v>
      </c>
      <c r="C99" s="1" t="s">
        <v>270</v>
      </c>
      <c r="D99" s="1" t="s">
        <v>22</v>
      </c>
      <c r="E99" s="1" t="s">
        <v>13</v>
      </c>
      <c r="F99" s="1">
        <v>1</v>
      </c>
      <c r="G99" s="7">
        <v>1200</v>
      </c>
      <c r="H99" s="3">
        <v>1</v>
      </c>
      <c r="I99" s="2">
        <f>(salesdata[[#This Row],[Discount]]/100)</f>
        <v>0.01</v>
      </c>
      <c r="J99" s="9">
        <v>1188</v>
      </c>
      <c r="K99" s="5" t="s">
        <v>88</v>
      </c>
      <c r="L99" s="5" t="s">
        <v>91</v>
      </c>
      <c r="M99" s="5" t="s">
        <v>81</v>
      </c>
      <c r="N99" s="5" t="s">
        <v>31</v>
      </c>
      <c r="O99" s="1" t="str">
        <f>TEXT(salesdata[[#This Row],[Order_Date]],"mmm")</f>
        <v>Nov</v>
      </c>
      <c r="P99" s="1">
        <f>YEAR(salesdata[[#This Row],[Order_Date]])</f>
        <v>2023</v>
      </c>
      <c r="Q99" s="1" t="str">
        <f t="shared" si="1"/>
        <v>Q4</v>
      </c>
    </row>
    <row r="100" spans="1:17" x14ac:dyDescent="0.3">
      <c r="A100" s="1">
        <v>10099</v>
      </c>
      <c r="B100" s="1" t="s">
        <v>271</v>
      </c>
      <c r="C100" s="1" t="s">
        <v>272</v>
      </c>
      <c r="D100" s="1" t="s">
        <v>29</v>
      </c>
      <c r="E100" s="1" t="s">
        <v>13</v>
      </c>
      <c r="F100" s="1">
        <v>2</v>
      </c>
      <c r="G100" s="7">
        <v>500</v>
      </c>
      <c r="H100" s="3">
        <v>3</v>
      </c>
      <c r="I100" s="2">
        <f>(salesdata[[#This Row],[Discount]]/100)</f>
        <v>0.03</v>
      </c>
      <c r="J100" s="8">
        <v>970</v>
      </c>
      <c r="K100" s="4" t="s">
        <v>39</v>
      </c>
      <c r="L100" s="4" t="s">
        <v>24</v>
      </c>
      <c r="M100" s="4" t="s">
        <v>40</v>
      </c>
      <c r="N100" s="4" t="s">
        <v>16</v>
      </c>
      <c r="O100" s="1" t="str">
        <f>TEXT(salesdata[[#This Row],[Order_Date]],"mmm")</f>
        <v>Apr</v>
      </c>
      <c r="P100" s="1">
        <f>YEAR(salesdata[[#This Row],[Order_Date]])</f>
        <v>2023</v>
      </c>
      <c r="Q100" s="1" t="str">
        <f t="shared" si="1"/>
        <v>Q2</v>
      </c>
    </row>
    <row r="101" spans="1:17" x14ac:dyDescent="0.3">
      <c r="A101" s="1">
        <v>10100</v>
      </c>
      <c r="B101" s="1" t="s">
        <v>273</v>
      </c>
      <c r="C101" s="1" t="s">
        <v>274</v>
      </c>
      <c r="D101" s="1" t="s">
        <v>27</v>
      </c>
      <c r="E101" s="1" t="s">
        <v>28</v>
      </c>
      <c r="F101" s="1">
        <v>9</v>
      </c>
      <c r="G101" s="7">
        <v>7000</v>
      </c>
      <c r="H101" s="3">
        <v>18</v>
      </c>
      <c r="I101" s="2">
        <f>(salesdata[[#This Row],[Discount]]/100)</f>
        <v>0.18</v>
      </c>
      <c r="J101" s="9">
        <v>51660</v>
      </c>
      <c r="K101" s="5" t="s">
        <v>85</v>
      </c>
      <c r="L101" s="5" t="s">
        <v>24</v>
      </c>
      <c r="M101" s="5" t="s">
        <v>19</v>
      </c>
      <c r="N101" s="5" t="s">
        <v>34</v>
      </c>
      <c r="O101" s="1" t="str">
        <f>TEXT(salesdata[[#This Row],[Order_Date]],"mmm")</f>
        <v>Jan</v>
      </c>
      <c r="P101" s="1">
        <f>YEAR(salesdata[[#This Row],[Order_Date]])</f>
        <v>2023</v>
      </c>
      <c r="Q101" s="1" t="str">
        <f t="shared" si="1"/>
        <v>Q1</v>
      </c>
    </row>
    <row r="102" spans="1:17" x14ac:dyDescent="0.3">
      <c r="A102" s="1">
        <v>10101</v>
      </c>
      <c r="B102" s="1" t="s">
        <v>275</v>
      </c>
      <c r="C102" s="1" t="s">
        <v>276</v>
      </c>
      <c r="D102" s="1" t="s">
        <v>17</v>
      </c>
      <c r="E102" s="1" t="s">
        <v>13</v>
      </c>
      <c r="F102" s="1">
        <v>8</v>
      </c>
      <c r="G102" s="7">
        <v>2000</v>
      </c>
      <c r="H102" s="3">
        <v>13</v>
      </c>
      <c r="I102" s="2">
        <f>(salesdata[[#This Row],[Discount]]/100)</f>
        <v>0.13</v>
      </c>
      <c r="J102" s="8">
        <v>13920</v>
      </c>
      <c r="K102" s="4" t="s">
        <v>30</v>
      </c>
      <c r="L102" s="4" t="s">
        <v>35</v>
      </c>
      <c r="M102" s="4" t="s">
        <v>81</v>
      </c>
      <c r="N102" s="4" t="s">
        <v>34</v>
      </c>
      <c r="O102" s="1" t="str">
        <f>TEXT(salesdata[[#This Row],[Order_Date]],"mmm")</f>
        <v>Jul</v>
      </c>
      <c r="P102" s="1">
        <f>YEAR(salesdata[[#This Row],[Order_Date]])</f>
        <v>2024</v>
      </c>
      <c r="Q102" s="1" t="str">
        <f t="shared" si="1"/>
        <v>Q3</v>
      </c>
    </row>
    <row r="103" spans="1:17" x14ac:dyDescent="0.3">
      <c r="A103" s="1">
        <v>10102</v>
      </c>
      <c r="B103" s="1" t="s">
        <v>277</v>
      </c>
      <c r="C103" s="1" t="s">
        <v>278</v>
      </c>
      <c r="D103" s="1" t="s">
        <v>119</v>
      </c>
      <c r="E103" s="1" t="s">
        <v>13</v>
      </c>
      <c r="F103" s="1">
        <v>1</v>
      </c>
      <c r="G103" s="7">
        <v>5000</v>
      </c>
      <c r="H103" s="3">
        <v>11</v>
      </c>
      <c r="I103" s="2">
        <f>(salesdata[[#This Row],[Discount]]/100)</f>
        <v>0.11</v>
      </c>
      <c r="J103" s="9">
        <v>4450</v>
      </c>
      <c r="K103" s="5" t="s">
        <v>88</v>
      </c>
      <c r="L103" s="5" t="s">
        <v>98</v>
      </c>
      <c r="M103" s="5" t="s">
        <v>160</v>
      </c>
      <c r="N103" s="5" t="s">
        <v>20</v>
      </c>
      <c r="O103" s="1" t="str">
        <f>TEXT(salesdata[[#This Row],[Order_Date]],"mmm")</f>
        <v>Sep</v>
      </c>
      <c r="P103" s="1">
        <f>YEAR(salesdata[[#This Row],[Order_Date]])</f>
        <v>2024</v>
      </c>
      <c r="Q103" s="1" t="str">
        <f t="shared" si="1"/>
        <v>Q3</v>
      </c>
    </row>
    <row r="104" spans="1:17" x14ac:dyDescent="0.3">
      <c r="A104" s="1">
        <v>10103</v>
      </c>
      <c r="B104" s="1" t="s">
        <v>279</v>
      </c>
      <c r="C104" s="1" t="s">
        <v>280</v>
      </c>
      <c r="D104" s="1" t="s">
        <v>22</v>
      </c>
      <c r="E104" s="1" t="s">
        <v>13</v>
      </c>
      <c r="F104" s="1">
        <v>6</v>
      </c>
      <c r="G104" s="7">
        <v>1200</v>
      </c>
      <c r="H104" s="3">
        <v>10</v>
      </c>
      <c r="I104" s="2">
        <f>(salesdata[[#This Row],[Discount]]/100)</f>
        <v>0.1</v>
      </c>
      <c r="J104" s="8">
        <v>6480</v>
      </c>
      <c r="K104" s="4" t="s">
        <v>14</v>
      </c>
      <c r="L104" s="4" t="s">
        <v>24</v>
      </c>
      <c r="M104" s="4" t="s">
        <v>160</v>
      </c>
      <c r="N104" s="4" t="s">
        <v>31</v>
      </c>
      <c r="O104" s="1" t="str">
        <f>TEXT(salesdata[[#This Row],[Order_Date]],"mmm")</f>
        <v>Oct</v>
      </c>
      <c r="P104" s="1">
        <f>YEAR(salesdata[[#This Row],[Order_Date]])</f>
        <v>2024</v>
      </c>
      <c r="Q104" s="1" t="str">
        <f t="shared" si="1"/>
        <v>Q4</v>
      </c>
    </row>
    <row r="105" spans="1:17" x14ac:dyDescent="0.3">
      <c r="A105" s="1">
        <v>10104</v>
      </c>
      <c r="B105" s="1" t="s">
        <v>281</v>
      </c>
      <c r="C105" s="1" t="s">
        <v>282</v>
      </c>
      <c r="D105" s="1" t="s">
        <v>119</v>
      </c>
      <c r="E105" s="1" t="s">
        <v>13</v>
      </c>
      <c r="F105" s="1">
        <v>2</v>
      </c>
      <c r="G105" s="7">
        <v>5000</v>
      </c>
      <c r="H105" s="3">
        <v>19</v>
      </c>
      <c r="I105" s="2">
        <f>(salesdata[[#This Row],[Discount]]/100)</f>
        <v>0.19</v>
      </c>
      <c r="J105" s="9">
        <v>8100</v>
      </c>
      <c r="K105" s="5" t="s">
        <v>85</v>
      </c>
      <c r="L105" s="5" t="s">
        <v>24</v>
      </c>
      <c r="M105" s="5" t="s">
        <v>33</v>
      </c>
      <c r="N105" s="5" t="s">
        <v>34</v>
      </c>
      <c r="O105" s="1" t="str">
        <f>TEXT(salesdata[[#This Row],[Order_Date]],"mmm")</f>
        <v>May</v>
      </c>
      <c r="P105" s="1">
        <f>YEAR(salesdata[[#This Row],[Order_Date]])</f>
        <v>2024</v>
      </c>
      <c r="Q105" s="1" t="str">
        <f t="shared" si="1"/>
        <v>Q2</v>
      </c>
    </row>
    <row r="106" spans="1:17" x14ac:dyDescent="0.3">
      <c r="A106" s="1">
        <v>10105</v>
      </c>
      <c r="B106" s="1" t="s">
        <v>283</v>
      </c>
      <c r="C106" s="1" t="s">
        <v>284</v>
      </c>
      <c r="D106" s="1" t="s">
        <v>32</v>
      </c>
      <c r="E106" s="1" t="s">
        <v>28</v>
      </c>
      <c r="F106" s="1">
        <v>4</v>
      </c>
      <c r="G106" s="7">
        <v>3000</v>
      </c>
      <c r="H106" s="3">
        <v>13</v>
      </c>
      <c r="I106" s="2">
        <f>(salesdata[[#This Row],[Discount]]/100)</f>
        <v>0.13</v>
      </c>
      <c r="J106" s="8">
        <v>10440</v>
      </c>
      <c r="K106" s="4" t="s">
        <v>39</v>
      </c>
      <c r="L106" s="4" t="s">
        <v>35</v>
      </c>
      <c r="M106" s="4" t="s">
        <v>101</v>
      </c>
      <c r="N106" s="4" t="s">
        <v>20</v>
      </c>
      <c r="O106" s="1" t="str">
        <f>TEXT(salesdata[[#This Row],[Order_Date]],"mmm")</f>
        <v>May</v>
      </c>
      <c r="P106" s="1">
        <f>YEAR(salesdata[[#This Row],[Order_Date]])</f>
        <v>2024</v>
      </c>
      <c r="Q106" s="1" t="str">
        <f t="shared" si="1"/>
        <v>Q2</v>
      </c>
    </row>
    <row r="107" spans="1:17" x14ac:dyDescent="0.3">
      <c r="A107" s="1">
        <v>10106</v>
      </c>
      <c r="B107" s="1" t="s">
        <v>285</v>
      </c>
      <c r="C107" s="1" t="s">
        <v>286</v>
      </c>
      <c r="D107" s="1" t="s">
        <v>32</v>
      </c>
      <c r="E107" s="1" t="s">
        <v>28</v>
      </c>
      <c r="F107" s="1">
        <v>4</v>
      </c>
      <c r="G107" s="7">
        <v>3000</v>
      </c>
      <c r="H107" s="3">
        <v>15</v>
      </c>
      <c r="I107" s="2">
        <f>(salesdata[[#This Row],[Discount]]/100)</f>
        <v>0.15</v>
      </c>
      <c r="J107" s="9">
        <v>10200</v>
      </c>
      <c r="K107" s="5" t="s">
        <v>88</v>
      </c>
      <c r="L107" s="5" t="s">
        <v>15</v>
      </c>
      <c r="M107" s="5" t="s">
        <v>44</v>
      </c>
      <c r="N107" s="5" t="s">
        <v>31</v>
      </c>
      <c r="O107" s="1" t="str">
        <f>TEXT(salesdata[[#This Row],[Order_Date]],"mmm")</f>
        <v>Aug</v>
      </c>
      <c r="P107" s="1">
        <f>YEAR(salesdata[[#This Row],[Order_Date]])</f>
        <v>2024</v>
      </c>
      <c r="Q107" s="1" t="str">
        <f t="shared" si="1"/>
        <v>Q3</v>
      </c>
    </row>
    <row r="108" spans="1:17" x14ac:dyDescent="0.3">
      <c r="A108" s="1">
        <v>10107</v>
      </c>
      <c r="B108" s="1" t="s">
        <v>287</v>
      </c>
      <c r="C108" s="1" t="s">
        <v>288</v>
      </c>
      <c r="D108" s="1" t="s">
        <v>42</v>
      </c>
      <c r="E108" s="1" t="s">
        <v>13</v>
      </c>
      <c r="F108" s="1">
        <v>4</v>
      </c>
      <c r="G108" s="7">
        <v>25000</v>
      </c>
      <c r="H108" s="3">
        <v>7</v>
      </c>
      <c r="I108" s="2">
        <f>(salesdata[[#This Row],[Discount]]/100)</f>
        <v>7.0000000000000007E-2</v>
      </c>
      <c r="J108" s="8">
        <v>93000</v>
      </c>
      <c r="K108" s="4" t="s">
        <v>14</v>
      </c>
      <c r="L108" s="4" t="s">
        <v>91</v>
      </c>
      <c r="M108" s="4" t="s">
        <v>25</v>
      </c>
      <c r="N108" s="4" t="s">
        <v>16</v>
      </c>
      <c r="O108" s="1" t="str">
        <f>TEXT(salesdata[[#This Row],[Order_Date]],"mmm")</f>
        <v>Mar</v>
      </c>
      <c r="P108" s="1">
        <f>YEAR(salesdata[[#This Row],[Order_Date]])</f>
        <v>2024</v>
      </c>
      <c r="Q108" s="1" t="str">
        <f t="shared" si="1"/>
        <v>Q1</v>
      </c>
    </row>
    <row r="109" spans="1:17" x14ac:dyDescent="0.3">
      <c r="A109" s="1">
        <v>10108</v>
      </c>
      <c r="B109" s="1" t="s">
        <v>289</v>
      </c>
      <c r="C109" s="1" t="s">
        <v>290</v>
      </c>
      <c r="D109" s="1" t="s">
        <v>119</v>
      </c>
      <c r="E109" s="1" t="s">
        <v>13</v>
      </c>
      <c r="F109" s="1">
        <v>10</v>
      </c>
      <c r="G109" s="7">
        <v>5000</v>
      </c>
      <c r="H109" s="3">
        <v>11</v>
      </c>
      <c r="I109" s="2">
        <f>(salesdata[[#This Row],[Discount]]/100)</f>
        <v>0.11</v>
      </c>
      <c r="J109" s="9">
        <v>44500</v>
      </c>
      <c r="K109" s="5" t="s">
        <v>39</v>
      </c>
      <c r="L109" s="5" t="s">
        <v>15</v>
      </c>
      <c r="M109" s="5" t="s">
        <v>44</v>
      </c>
      <c r="N109" s="5" t="s">
        <v>34</v>
      </c>
      <c r="O109" s="1" t="str">
        <f>TEXT(salesdata[[#This Row],[Order_Date]],"mmm")</f>
        <v>Apr</v>
      </c>
      <c r="P109" s="1">
        <f>YEAR(salesdata[[#This Row],[Order_Date]])</f>
        <v>2024</v>
      </c>
      <c r="Q109" s="1" t="str">
        <f t="shared" si="1"/>
        <v>Q2</v>
      </c>
    </row>
    <row r="110" spans="1:17" x14ac:dyDescent="0.3">
      <c r="A110" s="1">
        <v>10109</v>
      </c>
      <c r="B110" s="1" t="s">
        <v>291</v>
      </c>
      <c r="C110" s="1" t="s">
        <v>292</v>
      </c>
      <c r="D110" s="1" t="s">
        <v>22</v>
      </c>
      <c r="E110" s="1" t="s">
        <v>13</v>
      </c>
      <c r="F110" s="1">
        <v>3</v>
      </c>
      <c r="G110" s="7">
        <v>1200</v>
      </c>
      <c r="H110" s="3">
        <v>8</v>
      </c>
      <c r="I110" s="2">
        <f>(salesdata[[#This Row],[Discount]]/100)</f>
        <v>0.08</v>
      </c>
      <c r="J110" s="8">
        <v>3312</v>
      </c>
      <c r="K110" s="4" t="s">
        <v>37</v>
      </c>
      <c r="L110" s="4" t="s">
        <v>15</v>
      </c>
      <c r="M110" s="4" t="s">
        <v>81</v>
      </c>
      <c r="N110" s="4" t="s">
        <v>16</v>
      </c>
      <c r="O110" s="1" t="str">
        <f>TEXT(salesdata[[#This Row],[Order_Date]],"mmm")</f>
        <v>Feb</v>
      </c>
      <c r="P110" s="1">
        <f>YEAR(salesdata[[#This Row],[Order_Date]])</f>
        <v>2024</v>
      </c>
      <c r="Q110" s="1" t="str">
        <f t="shared" si="1"/>
        <v>Q1</v>
      </c>
    </row>
    <row r="111" spans="1:17" x14ac:dyDescent="0.3">
      <c r="A111" s="1">
        <v>10110</v>
      </c>
      <c r="B111" s="1" t="s">
        <v>293</v>
      </c>
      <c r="C111" s="1" t="s">
        <v>294</v>
      </c>
      <c r="D111" s="1" t="s">
        <v>84</v>
      </c>
      <c r="E111" s="1" t="s">
        <v>28</v>
      </c>
      <c r="F111" s="1">
        <v>5</v>
      </c>
      <c r="G111" s="7">
        <v>15000</v>
      </c>
      <c r="H111" s="3">
        <v>17</v>
      </c>
      <c r="I111" s="2">
        <f>(salesdata[[#This Row],[Discount]]/100)</f>
        <v>0.17</v>
      </c>
      <c r="J111" s="9">
        <v>62250</v>
      </c>
      <c r="K111" s="5" t="s">
        <v>30</v>
      </c>
      <c r="L111" s="5" t="s">
        <v>15</v>
      </c>
      <c r="M111" s="5" t="s">
        <v>33</v>
      </c>
      <c r="N111" s="5" t="s">
        <v>31</v>
      </c>
      <c r="O111" s="1" t="str">
        <f>TEXT(salesdata[[#This Row],[Order_Date]],"mmm")</f>
        <v>Apr</v>
      </c>
      <c r="P111" s="1">
        <f>YEAR(salesdata[[#This Row],[Order_Date]])</f>
        <v>2024</v>
      </c>
      <c r="Q111" s="1" t="str">
        <f t="shared" si="1"/>
        <v>Q2</v>
      </c>
    </row>
    <row r="112" spans="1:17" x14ac:dyDescent="0.3">
      <c r="A112" s="1">
        <v>10111</v>
      </c>
      <c r="B112" s="1" t="s">
        <v>295</v>
      </c>
      <c r="C112" s="1" t="s">
        <v>296</v>
      </c>
      <c r="D112" s="1" t="s">
        <v>119</v>
      </c>
      <c r="E112" s="1" t="s">
        <v>13</v>
      </c>
      <c r="F112" s="1">
        <v>6</v>
      </c>
      <c r="G112" s="7">
        <v>5000</v>
      </c>
      <c r="H112" s="3">
        <v>13</v>
      </c>
      <c r="I112" s="2">
        <f>(salesdata[[#This Row],[Discount]]/100)</f>
        <v>0.13</v>
      </c>
      <c r="J112" s="8">
        <v>26100</v>
      </c>
      <c r="K112" s="4" t="s">
        <v>14</v>
      </c>
      <c r="L112" s="4" t="s">
        <v>98</v>
      </c>
      <c r="M112" s="4" t="s">
        <v>101</v>
      </c>
      <c r="N112" s="4" t="s">
        <v>34</v>
      </c>
      <c r="O112" s="1" t="str">
        <f>TEXT(salesdata[[#This Row],[Order_Date]],"mmm")</f>
        <v>Nov</v>
      </c>
      <c r="P112" s="1">
        <f>YEAR(salesdata[[#This Row],[Order_Date]])</f>
        <v>2024</v>
      </c>
      <c r="Q112" s="1" t="str">
        <f t="shared" si="1"/>
        <v>Q4</v>
      </c>
    </row>
    <row r="113" spans="1:17" x14ac:dyDescent="0.3">
      <c r="A113" s="1">
        <v>10112</v>
      </c>
      <c r="B113" s="1" t="s">
        <v>297</v>
      </c>
      <c r="C113" s="1" t="s">
        <v>298</v>
      </c>
      <c r="D113" s="1" t="s">
        <v>119</v>
      </c>
      <c r="E113" s="1" t="s">
        <v>13</v>
      </c>
      <c r="F113" s="1">
        <v>3</v>
      </c>
      <c r="G113" s="7">
        <v>5000</v>
      </c>
      <c r="H113" s="3">
        <v>2</v>
      </c>
      <c r="I113" s="2">
        <f>(salesdata[[#This Row],[Discount]]/100)</f>
        <v>0.02</v>
      </c>
      <c r="J113" s="9">
        <v>14700</v>
      </c>
      <c r="K113" s="5" t="s">
        <v>88</v>
      </c>
      <c r="L113" s="5" t="s">
        <v>24</v>
      </c>
      <c r="M113" s="5" t="s">
        <v>33</v>
      </c>
      <c r="N113" s="5" t="s">
        <v>34</v>
      </c>
      <c r="O113" s="1" t="str">
        <f>TEXT(salesdata[[#This Row],[Order_Date]],"mmm")</f>
        <v>Oct</v>
      </c>
      <c r="P113" s="1">
        <f>YEAR(salesdata[[#This Row],[Order_Date]])</f>
        <v>2024</v>
      </c>
      <c r="Q113" s="1" t="str">
        <f t="shared" si="1"/>
        <v>Q4</v>
      </c>
    </row>
    <row r="114" spans="1:17" x14ac:dyDescent="0.3">
      <c r="A114" s="1">
        <v>10113</v>
      </c>
      <c r="B114" s="1" t="s">
        <v>299</v>
      </c>
      <c r="C114" s="1" t="s">
        <v>300</v>
      </c>
      <c r="D114" s="1" t="s">
        <v>29</v>
      </c>
      <c r="E114" s="1" t="s">
        <v>13</v>
      </c>
      <c r="F114" s="1">
        <v>8</v>
      </c>
      <c r="G114" s="7">
        <v>500</v>
      </c>
      <c r="H114" s="3">
        <v>0</v>
      </c>
      <c r="I114" s="2">
        <f>(salesdata[[#This Row],[Discount]]/100)</f>
        <v>0</v>
      </c>
      <c r="J114" s="8">
        <v>4000</v>
      </c>
      <c r="K114" s="4" t="s">
        <v>30</v>
      </c>
      <c r="L114" s="4" t="s">
        <v>35</v>
      </c>
      <c r="M114" s="4" t="s">
        <v>19</v>
      </c>
      <c r="N114" s="4" t="s">
        <v>20</v>
      </c>
      <c r="O114" s="1" t="str">
        <f>TEXT(salesdata[[#This Row],[Order_Date]],"mmm")</f>
        <v>Sep</v>
      </c>
      <c r="P114" s="1">
        <f>YEAR(salesdata[[#This Row],[Order_Date]])</f>
        <v>2024</v>
      </c>
      <c r="Q114" s="1" t="str">
        <f t="shared" si="1"/>
        <v>Q3</v>
      </c>
    </row>
    <row r="115" spans="1:17" x14ac:dyDescent="0.3">
      <c r="A115" s="1">
        <v>10114</v>
      </c>
      <c r="B115" s="1" t="s">
        <v>301</v>
      </c>
      <c r="C115" s="1" t="s">
        <v>302</v>
      </c>
      <c r="D115" s="1" t="s">
        <v>22</v>
      </c>
      <c r="E115" s="1" t="s">
        <v>13</v>
      </c>
      <c r="F115" s="1">
        <v>4</v>
      </c>
      <c r="G115" s="7">
        <v>1200</v>
      </c>
      <c r="H115" s="3">
        <v>1</v>
      </c>
      <c r="I115" s="2">
        <f>(salesdata[[#This Row],[Discount]]/100)</f>
        <v>0.01</v>
      </c>
      <c r="J115" s="9">
        <v>4752</v>
      </c>
      <c r="K115" s="5" t="s">
        <v>37</v>
      </c>
      <c r="L115" s="5" t="s">
        <v>15</v>
      </c>
      <c r="M115" s="5" t="s">
        <v>33</v>
      </c>
      <c r="N115" s="5" t="s">
        <v>34</v>
      </c>
      <c r="O115" s="1" t="str">
        <f>TEXT(salesdata[[#This Row],[Order_Date]],"mmm")</f>
        <v>Dec</v>
      </c>
      <c r="P115" s="1">
        <f>YEAR(salesdata[[#This Row],[Order_Date]])</f>
        <v>2024</v>
      </c>
      <c r="Q115" s="1" t="str">
        <f t="shared" si="1"/>
        <v>Q4</v>
      </c>
    </row>
    <row r="116" spans="1:17" x14ac:dyDescent="0.3">
      <c r="A116" s="1">
        <v>10115</v>
      </c>
      <c r="B116" s="1" t="s">
        <v>303</v>
      </c>
      <c r="C116" s="1" t="s">
        <v>304</v>
      </c>
      <c r="D116" s="1" t="s">
        <v>12</v>
      </c>
      <c r="E116" s="1" t="s">
        <v>13</v>
      </c>
      <c r="F116" s="1">
        <v>3</v>
      </c>
      <c r="G116" s="7">
        <v>50000</v>
      </c>
      <c r="H116" s="3">
        <v>4</v>
      </c>
      <c r="I116" s="2">
        <f>(salesdata[[#This Row],[Discount]]/100)</f>
        <v>0.04</v>
      </c>
      <c r="J116" s="8">
        <v>144000</v>
      </c>
      <c r="K116" s="4" t="s">
        <v>88</v>
      </c>
      <c r="L116" s="4" t="s">
        <v>91</v>
      </c>
      <c r="M116" s="4" t="s">
        <v>33</v>
      </c>
      <c r="N116" s="4" t="s">
        <v>20</v>
      </c>
      <c r="O116" s="1" t="str">
        <f>TEXT(salesdata[[#This Row],[Order_Date]],"mmm")</f>
        <v>Apr</v>
      </c>
      <c r="P116" s="1">
        <f>YEAR(salesdata[[#This Row],[Order_Date]])</f>
        <v>2024</v>
      </c>
      <c r="Q116" s="1" t="str">
        <f t="shared" si="1"/>
        <v>Q2</v>
      </c>
    </row>
    <row r="117" spans="1:17" x14ac:dyDescent="0.3">
      <c r="A117" s="1">
        <v>10116</v>
      </c>
      <c r="B117" s="1" t="s">
        <v>305</v>
      </c>
      <c r="C117" s="1" t="s">
        <v>306</v>
      </c>
      <c r="D117" s="1" t="s">
        <v>84</v>
      </c>
      <c r="E117" s="1" t="s">
        <v>28</v>
      </c>
      <c r="F117" s="1">
        <v>1</v>
      </c>
      <c r="G117" s="7">
        <v>15000</v>
      </c>
      <c r="H117" s="3">
        <v>15</v>
      </c>
      <c r="I117" s="2">
        <f>(salesdata[[#This Row],[Discount]]/100)</f>
        <v>0.15</v>
      </c>
      <c r="J117" s="9">
        <v>12750</v>
      </c>
      <c r="K117" s="5" t="s">
        <v>85</v>
      </c>
      <c r="L117" s="5" t="s">
        <v>98</v>
      </c>
      <c r="M117" s="5" t="s">
        <v>81</v>
      </c>
      <c r="N117" s="5" t="s">
        <v>20</v>
      </c>
      <c r="O117" s="1" t="str">
        <f>TEXT(salesdata[[#This Row],[Order_Date]],"mmm")</f>
        <v>Mar</v>
      </c>
      <c r="P117" s="1">
        <f>YEAR(salesdata[[#This Row],[Order_Date]])</f>
        <v>2024</v>
      </c>
      <c r="Q117" s="1" t="str">
        <f t="shared" si="1"/>
        <v>Q1</v>
      </c>
    </row>
    <row r="118" spans="1:17" x14ac:dyDescent="0.3">
      <c r="A118" s="1">
        <v>10117</v>
      </c>
      <c r="B118" s="1" t="s">
        <v>307</v>
      </c>
      <c r="C118" s="1" t="s">
        <v>308</v>
      </c>
      <c r="D118" s="1" t="s">
        <v>32</v>
      </c>
      <c r="E118" s="1" t="s">
        <v>28</v>
      </c>
      <c r="F118" s="1">
        <v>2</v>
      </c>
      <c r="G118" s="7">
        <v>3000</v>
      </c>
      <c r="H118" s="3">
        <v>20</v>
      </c>
      <c r="I118" s="2">
        <f>(salesdata[[#This Row],[Discount]]/100)</f>
        <v>0.2</v>
      </c>
      <c r="J118" s="8">
        <v>4800</v>
      </c>
      <c r="K118" s="4" t="s">
        <v>23</v>
      </c>
      <c r="L118" s="4" t="s">
        <v>98</v>
      </c>
      <c r="M118" s="4" t="s">
        <v>101</v>
      </c>
      <c r="N118" s="4" t="s">
        <v>31</v>
      </c>
      <c r="O118" s="1" t="str">
        <f>TEXT(salesdata[[#This Row],[Order_Date]],"mmm")</f>
        <v>Dec</v>
      </c>
      <c r="P118" s="1">
        <f>YEAR(salesdata[[#This Row],[Order_Date]])</f>
        <v>2024</v>
      </c>
      <c r="Q118" s="1" t="str">
        <f t="shared" si="1"/>
        <v>Q4</v>
      </c>
    </row>
    <row r="119" spans="1:17" x14ac:dyDescent="0.3">
      <c r="A119" s="1">
        <v>10118</v>
      </c>
      <c r="B119" s="1" t="s">
        <v>309</v>
      </c>
      <c r="C119" s="1" t="s">
        <v>310</v>
      </c>
      <c r="D119" s="1" t="s">
        <v>36</v>
      </c>
      <c r="E119" s="1" t="s">
        <v>13</v>
      </c>
      <c r="F119" s="1">
        <v>10</v>
      </c>
      <c r="G119" s="7">
        <v>8000</v>
      </c>
      <c r="H119" s="3">
        <v>5</v>
      </c>
      <c r="I119" s="2">
        <f>(salesdata[[#This Row],[Discount]]/100)</f>
        <v>0.05</v>
      </c>
      <c r="J119" s="9">
        <v>76000</v>
      </c>
      <c r="K119" s="5" t="s">
        <v>37</v>
      </c>
      <c r="L119" s="5" t="s">
        <v>91</v>
      </c>
      <c r="M119" s="5" t="s">
        <v>33</v>
      </c>
      <c r="N119" s="5" t="s">
        <v>34</v>
      </c>
      <c r="O119" s="1" t="str">
        <f>TEXT(salesdata[[#This Row],[Order_Date]],"mmm")</f>
        <v>Jun</v>
      </c>
      <c r="P119" s="1">
        <f>YEAR(salesdata[[#This Row],[Order_Date]])</f>
        <v>2024</v>
      </c>
      <c r="Q119" s="1" t="str">
        <f t="shared" si="1"/>
        <v>Q2</v>
      </c>
    </row>
    <row r="120" spans="1:17" x14ac:dyDescent="0.3">
      <c r="A120" s="1">
        <v>10119</v>
      </c>
      <c r="B120" s="1" t="s">
        <v>311</v>
      </c>
      <c r="C120" s="1" t="s">
        <v>312</v>
      </c>
      <c r="D120" s="1" t="s">
        <v>32</v>
      </c>
      <c r="E120" s="1" t="s">
        <v>28</v>
      </c>
      <c r="F120" s="1">
        <v>6</v>
      </c>
      <c r="G120" s="7">
        <v>3000</v>
      </c>
      <c r="H120" s="3">
        <v>2</v>
      </c>
      <c r="I120" s="2">
        <f>(salesdata[[#This Row],[Discount]]/100)</f>
        <v>0.02</v>
      </c>
      <c r="J120" s="8">
        <v>17640</v>
      </c>
      <c r="K120" s="4" t="s">
        <v>85</v>
      </c>
      <c r="L120" s="4" t="s">
        <v>35</v>
      </c>
      <c r="M120" s="4" t="s">
        <v>44</v>
      </c>
      <c r="N120" s="4" t="s">
        <v>20</v>
      </c>
      <c r="O120" s="1" t="str">
        <f>TEXT(salesdata[[#This Row],[Order_Date]],"mmm")</f>
        <v>Mar</v>
      </c>
      <c r="P120" s="1">
        <f>YEAR(salesdata[[#This Row],[Order_Date]])</f>
        <v>2024</v>
      </c>
      <c r="Q120" s="1" t="str">
        <f t="shared" si="1"/>
        <v>Q1</v>
      </c>
    </row>
    <row r="121" spans="1:17" x14ac:dyDescent="0.3">
      <c r="A121" s="1">
        <v>10120</v>
      </c>
      <c r="B121" s="1" t="s">
        <v>313</v>
      </c>
      <c r="C121" s="1" t="s">
        <v>314</v>
      </c>
      <c r="D121" s="1" t="s">
        <v>17</v>
      </c>
      <c r="E121" s="1" t="s">
        <v>13</v>
      </c>
      <c r="F121" s="1">
        <v>9</v>
      </c>
      <c r="G121" s="7">
        <v>2000</v>
      </c>
      <c r="H121" s="3">
        <v>12</v>
      </c>
      <c r="I121" s="2">
        <f>(salesdata[[#This Row],[Discount]]/100)</f>
        <v>0.12</v>
      </c>
      <c r="J121" s="9">
        <v>15840</v>
      </c>
      <c r="K121" s="5" t="s">
        <v>30</v>
      </c>
      <c r="L121" s="5" t="s">
        <v>15</v>
      </c>
      <c r="M121" s="5" t="s">
        <v>33</v>
      </c>
      <c r="N121" s="5" t="s">
        <v>20</v>
      </c>
      <c r="O121" s="1" t="str">
        <f>TEXT(salesdata[[#This Row],[Order_Date]],"mmm")</f>
        <v>May</v>
      </c>
      <c r="P121" s="1">
        <f>YEAR(salesdata[[#This Row],[Order_Date]])</f>
        <v>2024</v>
      </c>
      <c r="Q121" s="1" t="str">
        <f t="shared" si="1"/>
        <v>Q2</v>
      </c>
    </row>
    <row r="122" spans="1:17" x14ac:dyDescent="0.3">
      <c r="A122" s="1">
        <v>10121</v>
      </c>
      <c r="B122" s="1" t="s">
        <v>315</v>
      </c>
      <c r="C122" s="1" t="s">
        <v>316</v>
      </c>
      <c r="D122" s="1" t="s">
        <v>17</v>
      </c>
      <c r="E122" s="1" t="s">
        <v>13</v>
      </c>
      <c r="F122" s="1">
        <v>9</v>
      </c>
      <c r="G122" s="7">
        <v>2000</v>
      </c>
      <c r="H122" s="3">
        <v>9</v>
      </c>
      <c r="I122" s="2">
        <f>(salesdata[[#This Row],[Discount]]/100)</f>
        <v>0.09</v>
      </c>
      <c r="J122" s="8">
        <v>16380</v>
      </c>
      <c r="K122" s="4" t="s">
        <v>88</v>
      </c>
      <c r="L122" s="4" t="s">
        <v>15</v>
      </c>
      <c r="M122" s="4" t="s">
        <v>40</v>
      </c>
      <c r="N122" s="4" t="s">
        <v>20</v>
      </c>
      <c r="O122" s="1" t="str">
        <f>TEXT(salesdata[[#This Row],[Order_Date]],"mmm")</f>
        <v>Feb</v>
      </c>
      <c r="P122" s="1">
        <f>YEAR(salesdata[[#This Row],[Order_Date]])</f>
        <v>2024</v>
      </c>
      <c r="Q122" s="1" t="str">
        <f t="shared" si="1"/>
        <v>Q1</v>
      </c>
    </row>
    <row r="123" spans="1:17" x14ac:dyDescent="0.3">
      <c r="A123" s="1">
        <v>10122</v>
      </c>
      <c r="B123" s="1" t="s">
        <v>317</v>
      </c>
      <c r="C123" s="1" t="s">
        <v>318</v>
      </c>
      <c r="D123" s="1" t="s">
        <v>22</v>
      </c>
      <c r="E123" s="1" t="s">
        <v>13</v>
      </c>
      <c r="F123" s="1">
        <v>9</v>
      </c>
      <c r="G123" s="7">
        <v>1200</v>
      </c>
      <c r="H123" s="3">
        <v>10</v>
      </c>
      <c r="I123" s="2">
        <f>(salesdata[[#This Row],[Discount]]/100)</f>
        <v>0.1</v>
      </c>
      <c r="J123" s="9">
        <v>9720</v>
      </c>
      <c r="K123" s="5" t="s">
        <v>85</v>
      </c>
      <c r="L123" s="5" t="s">
        <v>98</v>
      </c>
      <c r="M123" s="5" t="s">
        <v>160</v>
      </c>
      <c r="N123" s="5" t="s">
        <v>31</v>
      </c>
      <c r="O123" s="1" t="str">
        <f>TEXT(salesdata[[#This Row],[Order_Date]],"mmm")</f>
        <v>Jan</v>
      </c>
      <c r="P123" s="1">
        <f>YEAR(salesdata[[#This Row],[Order_Date]])</f>
        <v>2024</v>
      </c>
      <c r="Q123" s="1" t="str">
        <f t="shared" si="1"/>
        <v>Q1</v>
      </c>
    </row>
    <row r="124" spans="1:17" x14ac:dyDescent="0.3">
      <c r="A124" s="1">
        <v>10123</v>
      </c>
      <c r="B124" s="1" t="s">
        <v>319</v>
      </c>
      <c r="C124" s="1" t="s">
        <v>320</v>
      </c>
      <c r="D124" s="1" t="s">
        <v>42</v>
      </c>
      <c r="E124" s="1" t="s">
        <v>13</v>
      </c>
      <c r="F124" s="1">
        <v>9</v>
      </c>
      <c r="G124" s="7">
        <v>25000</v>
      </c>
      <c r="H124" s="3">
        <v>7</v>
      </c>
      <c r="I124" s="2">
        <f>(salesdata[[#This Row],[Discount]]/100)</f>
        <v>7.0000000000000007E-2</v>
      </c>
      <c r="J124" s="8">
        <v>209250</v>
      </c>
      <c r="K124" s="4" t="s">
        <v>39</v>
      </c>
      <c r="L124" s="4" t="s">
        <v>91</v>
      </c>
      <c r="M124" s="4" t="s">
        <v>44</v>
      </c>
      <c r="N124" s="4" t="s">
        <v>20</v>
      </c>
      <c r="O124" s="1" t="str">
        <f>TEXT(salesdata[[#This Row],[Order_Date]],"mmm")</f>
        <v>Jan</v>
      </c>
      <c r="P124" s="1">
        <f>YEAR(salesdata[[#This Row],[Order_Date]])</f>
        <v>2024</v>
      </c>
      <c r="Q124" s="1" t="str">
        <f t="shared" si="1"/>
        <v>Q1</v>
      </c>
    </row>
    <row r="125" spans="1:17" x14ac:dyDescent="0.3">
      <c r="A125" s="1">
        <v>10124</v>
      </c>
      <c r="B125" s="1" t="s">
        <v>321</v>
      </c>
      <c r="C125" s="1" t="s">
        <v>322</v>
      </c>
      <c r="D125" s="1" t="s">
        <v>36</v>
      </c>
      <c r="E125" s="1" t="s">
        <v>13</v>
      </c>
      <c r="F125" s="1">
        <v>6</v>
      </c>
      <c r="G125" s="7">
        <v>8000</v>
      </c>
      <c r="H125" s="3">
        <v>16</v>
      </c>
      <c r="I125" s="2">
        <f>(salesdata[[#This Row],[Discount]]/100)</f>
        <v>0.16</v>
      </c>
      <c r="J125" s="9">
        <v>40320</v>
      </c>
      <c r="K125" s="5" t="s">
        <v>88</v>
      </c>
      <c r="L125" s="5" t="s">
        <v>15</v>
      </c>
      <c r="M125" s="5" t="s">
        <v>19</v>
      </c>
      <c r="N125" s="5" t="s">
        <v>20</v>
      </c>
      <c r="O125" s="1" t="str">
        <f>TEXT(salesdata[[#This Row],[Order_Date]],"mmm")</f>
        <v>Feb</v>
      </c>
      <c r="P125" s="1">
        <f>YEAR(salesdata[[#This Row],[Order_Date]])</f>
        <v>2024</v>
      </c>
      <c r="Q125" s="1" t="str">
        <f t="shared" si="1"/>
        <v>Q1</v>
      </c>
    </row>
    <row r="126" spans="1:17" x14ac:dyDescent="0.3">
      <c r="A126" s="1">
        <v>10125</v>
      </c>
      <c r="B126" s="1" t="s">
        <v>297</v>
      </c>
      <c r="C126" s="1" t="s">
        <v>323</v>
      </c>
      <c r="D126" s="1" t="s">
        <v>32</v>
      </c>
      <c r="E126" s="1" t="s">
        <v>28</v>
      </c>
      <c r="F126" s="1">
        <v>4</v>
      </c>
      <c r="G126" s="7">
        <v>3000</v>
      </c>
      <c r="H126" s="3">
        <v>2</v>
      </c>
      <c r="I126" s="2">
        <f>(salesdata[[#This Row],[Discount]]/100)</f>
        <v>0.02</v>
      </c>
      <c r="J126" s="8">
        <v>11760</v>
      </c>
      <c r="K126" s="4" t="s">
        <v>37</v>
      </c>
      <c r="L126" s="4" t="s">
        <v>35</v>
      </c>
      <c r="M126" s="4" t="s">
        <v>40</v>
      </c>
      <c r="N126" s="4" t="s">
        <v>20</v>
      </c>
      <c r="O126" s="1" t="str">
        <f>TEXT(salesdata[[#This Row],[Order_Date]],"mmm")</f>
        <v>Oct</v>
      </c>
      <c r="P126" s="1">
        <f>YEAR(salesdata[[#This Row],[Order_Date]])</f>
        <v>2024</v>
      </c>
      <c r="Q126" s="1" t="str">
        <f t="shared" si="1"/>
        <v>Q4</v>
      </c>
    </row>
    <row r="127" spans="1:17" x14ac:dyDescent="0.3">
      <c r="A127" s="1">
        <v>10126</v>
      </c>
      <c r="B127" s="1" t="s">
        <v>324</v>
      </c>
      <c r="C127" s="1" t="s">
        <v>325</v>
      </c>
      <c r="D127" s="1" t="s">
        <v>27</v>
      </c>
      <c r="E127" s="1" t="s">
        <v>28</v>
      </c>
      <c r="F127" s="1">
        <v>3</v>
      </c>
      <c r="G127" s="7">
        <v>7000</v>
      </c>
      <c r="H127" s="3">
        <v>7</v>
      </c>
      <c r="I127" s="2">
        <f>(salesdata[[#This Row],[Discount]]/100)</f>
        <v>7.0000000000000007E-2</v>
      </c>
      <c r="J127" s="9">
        <v>19530</v>
      </c>
      <c r="K127" s="5" t="s">
        <v>88</v>
      </c>
      <c r="L127" s="5" t="s">
        <v>15</v>
      </c>
      <c r="M127" s="5" t="s">
        <v>40</v>
      </c>
      <c r="N127" s="5" t="s">
        <v>34</v>
      </c>
      <c r="O127" s="1" t="str">
        <f>TEXT(salesdata[[#This Row],[Order_Date]],"mmm")</f>
        <v>Jan</v>
      </c>
      <c r="P127" s="1">
        <f>YEAR(salesdata[[#This Row],[Order_Date]])</f>
        <v>2024</v>
      </c>
      <c r="Q127" s="1" t="str">
        <f t="shared" si="1"/>
        <v>Q1</v>
      </c>
    </row>
    <row r="128" spans="1:17" x14ac:dyDescent="0.3">
      <c r="A128" s="1">
        <v>10127</v>
      </c>
      <c r="B128" s="1" t="s">
        <v>326</v>
      </c>
      <c r="C128" s="1" t="s">
        <v>327</v>
      </c>
      <c r="D128" s="1" t="s">
        <v>32</v>
      </c>
      <c r="E128" s="1" t="s">
        <v>28</v>
      </c>
      <c r="F128" s="1">
        <v>5</v>
      </c>
      <c r="G128" s="7">
        <v>3000</v>
      </c>
      <c r="H128" s="3">
        <v>5</v>
      </c>
      <c r="I128" s="2">
        <f>(salesdata[[#This Row],[Discount]]/100)</f>
        <v>0.05</v>
      </c>
      <c r="J128" s="8">
        <v>14250</v>
      </c>
      <c r="K128" s="4" t="s">
        <v>14</v>
      </c>
      <c r="L128" s="4" t="s">
        <v>24</v>
      </c>
      <c r="M128" s="4" t="s">
        <v>160</v>
      </c>
      <c r="N128" s="4" t="s">
        <v>20</v>
      </c>
      <c r="O128" s="1" t="str">
        <f>TEXT(salesdata[[#This Row],[Order_Date]],"mmm")</f>
        <v>Jan</v>
      </c>
      <c r="P128" s="1">
        <f>YEAR(salesdata[[#This Row],[Order_Date]])</f>
        <v>2024</v>
      </c>
      <c r="Q128" s="1" t="str">
        <f t="shared" si="1"/>
        <v>Q1</v>
      </c>
    </row>
    <row r="129" spans="1:17" x14ac:dyDescent="0.3">
      <c r="A129" s="1">
        <v>10128</v>
      </c>
      <c r="B129" s="1" t="s">
        <v>328</v>
      </c>
      <c r="C129" s="1" t="s">
        <v>329</v>
      </c>
      <c r="D129" s="1" t="s">
        <v>119</v>
      </c>
      <c r="E129" s="1" t="s">
        <v>13</v>
      </c>
      <c r="F129" s="1">
        <v>3</v>
      </c>
      <c r="G129" s="7">
        <v>5000</v>
      </c>
      <c r="H129" s="3">
        <v>0</v>
      </c>
      <c r="I129" s="2">
        <f>(salesdata[[#This Row],[Discount]]/100)</f>
        <v>0</v>
      </c>
      <c r="J129" s="9">
        <v>15000</v>
      </c>
      <c r="K129" s="5" t="s">
        <v>18</v>
      </c>
      <c r="L129" s="5" t="s">
        <v>98</v>
      </c>
      <c r="M129" s="5" t="s">
        <v>101</v>
      </c>
      <c r="N129" s="5" t="s">
        <v>31</v>
      </c>
      <c r="O129" s="1" t="str">
        <f>TEXT(salesdata[[#This Row],[Order_Date]],"mmm")</f>
        <v>Oct</v>
      </c>
      <c r="P129" s="1">
        <f>YEAR(salesdata[[#This Row],[Order_Date]])</f>
        <v>2024</v>
      </c>
      <c r="Q129" s="1" t="str">
        <f t="shared" si="1"/>
        <v>Q4</v>
      </c>
    </row>
    <row r="130" spans="1:17" x14ac:dyDescent="0.3">
      <c r="A130" s="1">
        <v>10129</v>
      </c>
      <c r="B130" s="1" t="s">
        <v>330</v>
      </c>
      <c r="C130" s="1" t="s">
        <v>331</v>
      </c>
      <c r="D130" s="1" t="s">
        <v>42</v>
      </c>
      <c r="E130" s="1" t="s">
        <v>13</v>
      </c>
      <c r="F130" s="1">
        <v>6</v>
      </c>
      <c r="G130" s="7">
        <v>25000</v>
      </c>
      <c r="H130" s="3">
        <v>18</v>
      </c>
      <c r="I130" s="2">
        <f>(salesdata[[#This Row],[Discount]]/100)</f>
        <v>0.18</v>
      </c>
      <c r="J130" s="8">
        <v>123000</v>
      </c>
      <c r="K130" s="4" t="s">
        <v>88</v>
      </c>
      <c r="L130" s="4" t="s">
        <v>24</v>
      </c>
      <c r="M130" s="4" t="s">
        <v>44</v>
      </c>
      <c r="N130" s="4" t="s">
        <v>20</v>
      </c>
      <c r="O130" s="1" t="str">
        <f>TEXT(salesdata[[#This Row],[Order_Date]],"mmm")</f>
        <v>Aug</v>
      </c>
      <c r="P130" s="1">
        <f>YEAR(salesdata[[#This Row],[Order_Date]])</f>
        <v>2024</v>
      </c>
      <c r="Q130" s="1" t="str">
        <f t="shared" ref="Q130:Q193" si="2">"Q"&amp;ROUNDUP(MONTH(B130)/3,0)</f>
        <v>Q3</v>
      </c>
    </row>
    <row r="131" spans="1:17" x14ac:dyDescent="0.3">
      <c r="A131" s="1">
        <v>10130</v>
      </c>
      <c r="B131" s="1" t="s">
        <v>332</v>
      </c>
      <c r="C131" s="1" t="s">
        <v>333</v>
      </c>
      <c r="D131" s="1" t="s">
        <v>119</v>
      </c>
      <c r="E131" s="1" t="s">
        <v>13</v>
      </c>
      <c r="F131" s="1">
        <v>4</v>
      </c>
      <c r="G131" s="7">
        <v>5000</v>
      </c>
      <c r="H131" s="3">
        <v>20</v>
      </c>
      <c r="I131" s="2">
        <f>(salesdata[[#This Row],[Discount]]/100)</f>
        <v>0.2</v>
      </c>
      <c r="J131" s="9">
        <v>16000</v>
      </c>
      <c r="K131" s="5" t="s">
        <v>37</v>
      </c>
      <c r="L131" s="5" t="s">
        <v>98</v>
      </c>
      <c r="M131" s="5" t="s">
        <v>44</v>
      </c>
      <c r="N131" s="5" t="s">
        <v>34</v>
      </c>
      <c r="O131" s="1" t="str">
        <f>TEXT(salesdata[[#This Row],[Order_Date]],"mmm")</f>
        <v>Jun</v>
      </c>
      <c r="P131" s="1">
        <f>YEAR(salesdata[[#This Row],[Order_Date]])</f>
        <v>2024</v>
      </c>
      <c r="Q131" s="1" t="str">
        <f t="shared" si="2"/>
        <v>Q2</v>
      </c>
    </row>
    <row r="132" spans="1:17" x14ac:dyDescent="0.3">
      <c r="A132" s="1">
        <v>10131</v>
      </c>
      <c r="B132" s="1" t="s">
        <v>334</v>
      </c>
      <c r="C132" s="1" t="s">
        <v>335</v>
      </c>
      <c r="D132" s="1" t="s">
        <v>17</v>
      </c>
      <c r="E132" s="1" t="s">
        <v>13</v>
      </c>
      <c r="F132" s="1">
        <v>2</v>
      </c>
      <c r="G132" s="7">
        <v>2000</v>
      </c>
      <c r="H132" s="3">
        <v>8</v>
      </c>
      <c r="I132" s="2">
        <f>(salesdata[[#This Row],[Discount]]/100)</f>
        <v>0.08</v>
      </c>
      <c r="J132" s="8">
        <v>3680</v>
      </c>
      <c r="K132" s="4" t="s">
        <v>18</v>
      </c>
      <c r="L132" s="4" t="s">
        <v>35</v>
      </c>
      <c r="M132" s="4" t="s">
        <v>33</v>
      </c>
      <c r="N132" s="4" t="s">
        <v>16</v>
      </c>
      <c r="O132" s="1" t="str">
        <f>TEXT(salesdata[[#This Row],[Order_Date]],"mmm")</f>
        <v>Mar</v>
      </c>
      <c r="P132" s="1">
        <f>YEAR(salesdata[[#This Row],[Order_Date]])</f>
        <v>2024</v>
      </c>
      <c r="Q132" s="1" t="str">
        <f t="shared" si="2"/>
        <v>Q1</v>
      </c>
    </row>
    <row r="133" spans="1:17" x14ac:dyDescent="0.3">
      <c r="A133" s="1">
        <v>10132</v>
      </c>
      <c r="B133" s="1" t="s">
        <v>336</v>
      </c>
      <c r="C133" s="1" t="s">
        <v>337</v>
      </c>
      <c r="D133" s="1" t="s">
        <v>17</v>
      </c>
      <c r="E133" s="1" t="s">
        <v>13</v>
      </c>
      <c r="F133" s="1">
        <v>6</v>
      </c>
      <c r="G133" s="7">
        <v>2000</v>
      </c>
      <c r="H133" s="3">
        <v>10</v>
      </c>
      <c r="I133" s="2">
        <f>(salesdata[[#This Row],[Discount]]/100)</f>
        <v>0.1</v>
      </c>
      <c r="J133" s="9">
        <v>10800</v>
      </c>
      <c r="K133" s="5" t="s">
        <v>30</v>
      </c>
      <c r="L133" s="5" t="s">
        <v>35</v>
      </c>
      <c r="M133" s="5" t="s">
        <v>101</v>
      </c>
      <c r="N133" s="5" t="s">
        <v>20</v>
      </c>
      <c r="O133" s="1" t="str">
        <f>TEXT(salesdata[[#This Row],[Order_Date]],"mmm")</f>
        <v>Jan</v>
      </c>
      <c r="P133" s="1">
        <f>YEAR(salesdata[[#This Row],[Order_Date]])</f>
        <v>2024</v>
      </c>
      <c r="Q133" s="1" t="str">
        <f t="shared" si="2"/>
        <v>Q1</v>
      </c>
    </row>
    <row r="134" spans="1:17" x14ac:dyDescent="0.3">
      <c r="A134" s="1">
        <v>10133</v>
      </c>
      <c r="B134" s="1" t="s">
        <v>338</v>
      </c>
      <c r="C134" s="1" t="s">
        <v>339</v>
      </c>
      <c r="D134" s="1" t="s">
        <v>17</v>
      </c>
      <c r="E134" s="1" t="s">
        <v>13</v>
      </c>
      <c r="F134" s="1">
        <v>10</v>
      </c>
      <c r="G134" s="7">
        <v>2000</v>
      </c>
      <c r="H134" s="3">
        <v>17</v>
      </c>
      <c r="I134" s="2">
        <f>(salesdata[[#This Row],[Discount]]/100)</f>
        <v>0.17</v>
      </c>
      <c r="J134" s="8">
        <v>16600</v>
      </c>
      <c r="K134" s="4" t="s">
        <v>14</v>
      </c>
      <c r="L134" s="4" t="s">
        <v>15</v>
      </c>
      <c r="M134" s="4" t="s">
        <v>81</v>
      </c>
      <c r="N134" s="4" t="s">
        <v>20</v>
      </c>
      <c r="O134" s="1" t="str">
        <f>TEXT(salesdata[[#This Row],[Order_Date]],"mmm")</f>
        <v>Sep</v>
      </c>
      <c r="P134" s="1">
        <f>YEAR(salesdata[[#This Row],[Order_Date]])</f>
        <v>2024</v>
      </c>
      <c r="Q134" s="1" t="str">
        <f t="shared" si="2"/>
        <v>Q3</v>
      </c>
    </row>
    <row r="135" spans="1:17" x14ac:dyDescent="0.3">
      <c r="A135" s="1">
        <v>10134</v>
      </c>
      <c r="B135" s="1" t="s">
        <v>340</v>
      </c>
      <c r="C135" s="1" t="s">
        <v>341</v>
      </c>
      <c r="D135" s="1" t="s">
        <v>84</v>
      </c>
      <c r="E135" s="1" t="s">
        <v>28</v>
      </c>
      <c r="F135" s="1">
        <v>1</v>
      </c>
      <c r="G135" s="7">
        <v>15000</v>
      </c>
      <c r="H135" s="3">
        <v>9</v>
      </c>
      <c r="I135" s="2">
        <f>(salesdata[[#This Row],[Discount]]/100)</f>
        <v>0.09</v>
      </c>
      <c r="J135" s="9">
        <v>13650</v>
      </c>
      <c r="K135" s="5" t="s">
        <v>30</v>
      </c>
      <c r="L135" s="5" t="s">
        <v>98</v>
      </c>
      <c r="M135" s="5" t="s">
        <v>101</v>
      </c>
      <c r="N135" s="5" t="s">
        <v>34</v>
      </c>
      <c r="O135" s="1" t="str">
        <f>TEXT(salesdata[[#This Row],[Order_Date]],"mmm")</f>
        <v>Jul</v>
      </c>
      <c r="P135" s="1">
        <f>YEAR(salesdata[[#This Row],[Order_Date]])</f>
        <v>2024</v>
      </c>
      <c r="Q135" s="1" t="str">
        <f t="shared" si="2"/>
        <v>Q3</v>
      </c>
    </row>
    <row r="136" spans="1:17" x14ac:dyDescent="0.3">
      <c r="A136" s="1">
        <v>10135</v>
      </c>
      <c r="B136" s="1" t="s">
        <v>317</v>
      </c>
      <c r="C136" s="1" t="s">
        <v>342</v>
      </c>
      <c r="D136" s="1" t="s">
        <v>27</v>
      </c>
      <c r="E136" s="1" t="s">
        <v>28</v>
      </c>
      <c r="F136" s="1">
        <v>6</v>
      </c>
      <c r="G136" s="7">
        <v>7000</v>
      </c>
      <c r="H136" s="3">
        <v>16</v>
      </c>
      <c r="I136" s="2">
        <f>(salesdata[[#This Row],[Discount]]/100)</f>
        <v>0.16</v>
      </c>
      <c r="J136" s="8">
        <v>35280</v>
      </c>
      <c r="K136" s="4" t="s">
        <v>30</v>
      </c>
      <c r="L136" s="4" t="s">
        <v>35</v>
      </c>
      <c r="M136" s="4" t="s">
        <v>160</v>
      </c>
      <c r="N136" s="4" t="s">
        <v>20</v>
      </c>
      <c r="O136" s="1" t="str">
        <f>TEXT(salesdata[[#This Row],[Order_Date]],"mmm")</f>
        <v>Jan</v>
      </c>
      <c r="P136" s="1">
        <f>YEAR(salesdata[[#This Row],[Order_Date]])</f>
        <v>2024</v>
      </c>
      <c r="Q136" s="1" t="str">
        <f t="shared" si="2"/>
        <v>Q1</v>
      </c>
    </row>
    <row r="137" spans="1:17" x14ac:dyDescent="0.3">
      <c r="A137" s="1">
        <v>10136</v>
      </c>
      <c r="B137" s="1" t="s">
        <v>343</v>
      </c>
      <c r="C137" s="1" t="s">
        <v>344</v>
      </c>
      <c r="D137" s="1" t="s">
        <v>29</v>
      </c>
      <c r="E137" s="1" t="s">
        <v>13</v>
      </c>
      <c r="F137" s="1">
        <v>2</v>
      </c>
      <c r="G137" s="7">
        <v>500</v>
      </c>
      <c r="H137" s="3">
        <v>10</v>
      </c>
      <c r="I137" s="2">
        <f>(salesdata[[#This Row],[Discount]]/100)</f>
        <v>0.1</v>
      </c>
      <c r="J137" s="9">
        <v>900</v>
      </c>
      <c r="K137" s="5" t="s">
        <v>88</v>
      </c>
      <c r="L137" s="5" t="s">
        <v>24</v>
      </c>
      <c r="M137" s="5" t="s">
        <v>33</v>
      </c>
      <c r="N137" s="5" t="s">
        <v>20</v>
      </c>
      <c r="O137" s="1" t="str">
        <f>TEXT(salesdata[[#This Row],[Order_Date]],"mmm")</f>
        <v>Jul</v>
      </c>
      <c r="P137" s="1">
        <f>YEAR(salesdata[[#This Row],[Order_Date]])</f>
        <v>2024</v>
      </c>
      <c r="Q137" s="1" t="str">
        <f t="shared" si="2"/>
        <v>Q3</v>
      </c>
    </row>
    <row r="138" spans="1:17" x14ac:dyDescent="0.3">
      <c r="A138" s="1">
        <v>10137</v>
      </c>
      <c r="B138" s="1" t="s">
        <v>345</v>
      </c>
      <c r="C138" s="1" t="s">
        <v>346</v>
      </c>
      <c r="D138" s="1" t="s">
        <v>17</v>
      </c>
      <c r="E138" s="1" t="s">
        <v>13</v>
      </c>
      <c r="F138" s="1">
        <v>1</v>
      </c>
      <c r="G138" s="7">
        <v>2000</v>
      </c>
      <c r="H138" s="3">
        <v>8</v>
      </c>
      <c r="I138" s="2">
        <f>(salesdata[[#This Row],[Discount]]/100)</f>
        <v>0.08</v>
      </c>
      <c r="J138" s="8">
        <v>1840</v>
      </c>
      <c r="K138" s="4" t="s">
        <v>85</v>
      </c>
      <c r="L138" s="4" t="s">
        <v>91</v>
      </c>
      <c r="M138" s="4" t="s">
        <v>40</v>
      </c>
      <c r="N138" s="4" t="s">
        <v>20</v>
      </c>
      <c r="O138" s="1" t="str">
        <f>TEXT(salesdata[[#This Row],[Order_Date]],"mmm")</f>
        <v>Jun</v>
      </c>
      <c r="P138" s="1">
        <f>YEAR(salesdata[[#This Row],[Order_Date]])</f>
        <v>2024</v>
      </c>
      <c r="Q138" s="1" t="str">
        <f t="shared" si="2"/>
        <v>Q2</v>
      </c>
    </row>
    <row r="139" spans="1:17" x14ac:dyDescent="0.3">
      <c r="A139" s="1">
        <v>10138</v>
      </c>
      <c r="B139" s="1" t="s">
        <v>347</v>
      </c>
      <c r="C139" s="1" t="s">
        <v>348</v>
      </c>
      <c r="D139" s="1" t="s">
        <v>42</v>
      </c>
      <c r="E139" s="1" t="s">
        <v>13</v>
      </c>
      <c r="F139" s="1">
        <v>5</v>
      </c>
      <c r="G139" s="7">
        <v>25000</v>
      </c>
      <c r="H139" s="3">
        <v>3</v>
      </c>
      <c r="I139" s="2">
        <f>(salesdata[[#This Row],[Discount]]/100)</f>
        <v>0.03</v>
      </c>
      <c r="J139" s="9">
        <v>121250</v>
      </c>
      <c r="K139" s="5" t="s">
        <v>23</v>
      </c>
      <c r="L139" s="5" t="s">
        <v>91</v>
      </c>
      <c r="M139" s="5" t="s">
        <v>40</v>
      </c>
      <c r="N139" s="5" t="s">
        <v>31</v>
      </c>
      <c r="O139" s="1" t="str">
        <f>TEXT(salesdata[[#This Row],[Order_Date]],"mmm")</f>
        <v>Oct</v>
      </c>
      <c r="P139" s="1">
        <f>YEAR(salesdata[[#This Row],[Order_Date]])</f>
        <v>2024</v>
      </c>
      <c r="Q139" s="1" t="str">
        <f t="shared" si="2"/>
        <v>Q4</v>
      </c>
    </row>
    <row r="140" spans="1:17" x14ac:dyDescent="0.3">
      <c r="A140" s="1">
        <v>10139</v>
      </c>
      <c r="B140" s="1" t="s">
        <v>349</v>
      </c>
      <c r="C140" s="1" t="s">
        <v>350</v>
      </c>
      <c r="D140" s="1" t="s">
        <v>32</v>
      </c>
      <c r="E140" s="1" t="s">
        <v>28</v>
      </c>
      <c r="F140" s="1">
        <v>2</v>
      </c>
      <c r="G140" s="7">
        <v>3000</v>
      </c>
      <c r="H140" s="3">
        <v>3</v>
      </c>
      <c r="I140" s="2">
        <f>(salesdata[[#This Row],[Discount]]/100)</f>
        <v>0.03</v>
      </c>
      <c r="J140" s="8">
        <v>5820</v>
      </c>
      <c r="K140" s="4" t="s">
        <v>23</v>
      </c>
      <c r="L140" s="4" t="s">
        <v>98</v>
      </c>
      <c r="M140" s="4" t="s">
        <v>160</v>
      </c>
      <c r="N140" s="4" t="s">
        <v>16</v>
      </c>
      <c r="O140" s="1" t="str">
        <f>TEXT(salesdata[[#This Row],[Order_Date]],"mmm")</f>
        <v>Sep</v>
      </c>
      <c r="P140" s="1">
        <f>YEAR(salesdata[[#This Row],[Order_Date]])</f>
        <v>2024</v>
      </c>
      <c r="Q140" s="1" t="str">
        <f t="shared" si="2"/>
        <v>Q3</v>
      </c>
    </row>
    <row r="141" spans="1:17" x14ac:dyDescent="0.3">
      <c r="A141" s="1">
        <v>10140</v>
      </c>
      <c r="B141" s="1" t="s">
        <v>351</v>
      </c>
      <c r="C141" s="1" t="s">
        <v>352</v>
      </c>
      <c r="D141" s="1" t="s">
        <v>36</v>
      </c>
      <c r="E141" s="1" t="s">
        <v>13</v>
      </c>
      <c r="F141" s="1">
        <v>2</v>
      </c>
      <c r="G141" s="7">
        <v>8000</v>
      </c>
      <c r="H141" s="3">
        <v>3</v>
      </c>
      <c r="I141" s="2">
        <f>(salesdata[[#This Row],[Discount]]/100)</f>
        <v>0.03</v>
      </c>
      <c r="J141" s="9">
        <v>15520</v>
      </c>
      <c r="K141" s="5" t="s">
        <v>88</v>
      </c>
      <c r="L141" s="5" t="s">
        <v>98</v>
      </c>
      <c r="M141" s="5" t="s">
        <v>44</v>
      </c>
      <c r="N141" s="5" t="s">
        <v>20</v>
      </c>
      <c r="O141" s="1" t="str">
        <f>TEXT(salesdata[[#This Row],[Order_Date]],"mmm")</f>
        <v>Mar</v>
      </c>
      <c r="P141" s="1">
        <f>YEAR(salesdata[[#This Row],[Order_Date]])</f>
        <v>2024</v>
      </c>
      <c r="Q141" s="1" t="str">
        <f t="shared" si="2"/>
        <v>Q1</v>
      </c>
    </row>
    <row r="142" spans="1:17" x14ac:dyDescent="0.3">
      <c r="A142" s="1">
        <v>10141</v>
      </c>
      <c r="B142" s="1" t="s">
        <v>353</v>
      </c>
      <c r="C142" s="1" t="s">
        <v>354</v>
      </c>
      <c r="D142" s="1" t="s">
        <v>17</v>
      </c>
      <c r="E142" s="1" t="s">
        <v>13</v>
      </c>
      <c r="F142" s="1">
        <v>10</v>
      </c>
      <c r="G142" s="7">
        <v>2000</v>
      </c>
      <c r="H142" s="3">
        <v>0</v>
      </c>
      <c r="I142" s="2">
        <f>(salesdata[[#This Row],[Discount]]/100)</f>
        <v>0</v>
      </c>
      <c r="J142" s="8">
        <v>20000</v>
      </c>
      <c r="K142" s="4" t="s">
        <v>23</v>
      </c>
      <c r="L142" s="4" t="s">
        <v>91</v>
      </c>
      <c r="M142" s="4" t="s">
        <v>19</v>
      </c>
      <c r="N142" s="4" t="s">
        <v>31</v>
      </c>
      <c r="O142" s="1" t="str">
        <f>TEXT(salesdata[[#This Row],[Order_Date]],"mmm")</f>
        <v>Dec</v>
      </c>
      <c r="P142" s="1">
        <f>YEAR(salesdata[[#This Row],[Order_Date]])</f>
        <v>2024</v>
      </c>
      <c r="Q142" s="1" t="str">
        <f t="shared" si="2"/>
        <v>Q4</v>
      </c>
    </row>
    <row r="143" spans="1:17" x14ac:dyDescent="0.3">
      <c r="A143" s="1">
        <v>10142</v>
      </c>
      <c r="B143" s="1" t="s">
        <v>324</v>
      </c>
      <c r="C143" s="1" t="s">
        <v>355</v>
      </c>
      <c r="D143" s="1" t="s">
        <v>32</v>
      </c>
      <c r="E143" s="1" t="s">
        <v>28</v>
      </c>
      <c r="F143" s="1">
        <v>4</v>
      </c>
      <c r="G143" s="7">
        <v>3000</v>
      </c>
      <c r="H143" s="3">
        <v>12</v>
      </c>
      <c r="I143" s="2">
        <f>(salesdata[[#This Row],[Discount]]/100)</f>
        <v>0.12</v>
      </c>
      <c r="J143" s="9">
        <v>10560</v>
      </c>
      <c r="K143" s="5" t="s">
        <v>14</v>
      </c>
      <c r="L143" s="5" t="s">
        <v>98</v>
      </c>
      <c r="M143" s="5" t="s">
        <v>44</v>
      </c>
      <c r="N143" s="5" t="s">
        <v>20</v>
      </c>
      <c r="O143" s="1" t="str">
        <f>TEXT(salesdata[[#This Row],[Order_Date]],"mmm")</f>
        <v>Jan</v>
      </c>
      <c r="P143" s="1">
        <f>YEAR(salesdata[[#This Row],[Order_Date]])</f>
        <v>2024</v>
      </c>
      <c r="Q143" s="1" t="str">
        <f t="shared" si="2"/>
        <v>Q1</v>
      </c>
    </row>
    <row r="144" spans="1:17" x14ac:dyDescent="0.3">
      <c r="A144" s="1">
        <v>10143</v>
      </c>
      <c r="B144" s="1" t="s">
        <v>324</v>
      </c>
      <c r="C144" s="1" t="s">
        <v>356</v>
      </c>
      <c r="D144" s="1" t="s">
        <v>36</v>
      </c>
      <c r="E144" s="1" t="s">
        <v>13</v>
      </c>
      <c r="F144" s="1">
        <v>9</v>
      </c>
      <c r="G144" s="7">
        <v>8000</v>
      </c>
      <c r="H144" s="3">
        <v>7</v>
      </c>
      <c r="I144" s="2">
        <f>(salesdata[[#This Row],[Discount]]/100)</f>
        <v>7.0000000000000007E-2</v>
      </c>
      <c r="J144" s="8">
        <v>66960</v>
      </c>
      <c r="K144" s="4" t="s">
        <v>39</v>
      </c>
      <c r="L144" s="4" t="s">
        <v>35</v>
      </c>
      <c r="M144" s="4" t="s">
        <v>81</v>
      </c>
      <c r="N144" s="4" t="s">
        <v>16</v>
      </c>
      <c r="O144" s="1" t="str">
        <f>TEXT(salesdata[[#This Row],[Order_Date]],"mmm")</f>
        <v>Jan</v>
      </c>
      <c r="P144" s="1">
        <f>YEAR(salesdata[[#This Row],[Order_Date]])</f>
        <v>2024</v>
      </c>
      <c r="Q144" s="1" t="str">
        <f t="shared" si="2"/>
        <v>Q1</v>
      </c>
    </row>
    <row r="145" spans="1:17" x14ac:dyDescent="0.3">
      <c r="A145" s="1">
        <v>10144</v>
      </c>
      <c r="B145" s="1" t="s">
        <v>357</v>
      </c>
      <c r="C145" s="1" t="s">
        <v>358</v>
      </c>
      <c r="D145" s="1" t="s">
        <v>84</v>
      </c>
      <c r="E145" s="1" t="s">
        <v>28</v>
      </c>
      <c r="F145" s="1">
        <v>9</v>
      </c>
      <c r="G145" s="7">
        <v>15000</v>
      </c>
      <c r="H145" s="3">
        <v>12</v>
      </c>
      <c r="I145" s="2">
        <f>(salesdata[[#This Row],[Discount]]/100)</f>
        <v>0.12</v>
      </c>
      <c r="J145" s="9">
        <v>118800</v>
      </c>
      <c r="K145" s="5" t="s">
        <v>18</v>
      </c>
      <c r="L145" s="5" t="s">
        <v>98</v>
      </c>
      <c r="M145" s="5" t="s">
        <v>25</v>
      </c>
      <c r="N145" s="5" t="s">
        <v>34</v>
      </c>
      <c r="O145" s="1" t="str">
        <f>TEXT(salesdata[[#This Row],[Order_Date]],"mmm")</f>
        <v>Dec</v>
      </c>
      <c r="P145" s="1">
        <f>YEAR(salesdata[[#This Row],[Order_Date]])</f>
        <v>2024</v>
      </c>
      <c r="Q145" s="1" t="str">
        <f t="shared" si="2"/>
        <v>Q4</v>
      </c>
    </row>
    <row r="146" spans="1:17" x14ac:dyDescent="0.3">
      <c r="A146" s="1">
        <v>10145</v>
      </c>
      <c r="B146" s="1" t="s">
        <v>359</v>
      </c>
      <c r="C146" s="1" t="s">
        <v>360</v>
      </c>
      <c r="D146" s="1" t="s">
        <v>42</v>
      </c>
      <c r="E146" s="1" t="s">
        <v>13</v>
      </c>
      <c r="F146" s="1">
        <v>5</v>
      </c>
      <c r="G146" s="7">
        <v>25000</v>
      </c>
      <c r="H146" s="3">
        <v>11</v>
      </c>
      <c r="I146" s="2">
        <f>(salesdata[[#This Row],[Discount]]/100)</f>
        <v>0.11</v>
      </c>
      <c r="J146" s="8">
        <v>111250</v>
      </c>
      <c r="K146" s="4" t="s">
        <v>88</v>
      </c>
      <c r="L146" s="4" t="s">
        <v>91</v>
      </c>
      <c r="M146" s="4" t="s">
        <v>101</v>
      </c>
      <c r="N146" s="4" t="s">
        <v>16</v>
      </c>
      <c r="O146" s="1" t="str">
        <f>TEXT(salesdata[[#This Row],[Order_Date]],"mmm")</f>
        <v>Jul</v>
      </c>
      <c r="P146" s="1">
        <f>YEAR(salesdata[[#This Row],[Order_Date]])</f>
        <v>2024</v>
      </c>
      <c r="Q146" s="1" t="str">
        <f t="shared" si="2"/>
        <v>Q3</v>
      </c>
    </row>
    <row r="147" spans="1:17" x14ac:dyDescent="0.3">
      <c r="A147" s="1">
        <v>10146</v>
      </c>
      <c r="B147" s="1" t="s">
        <v>361</v>
      </c>
      <c r="C147" s="1" t="s">
        <v>362</v>
      </c>
      <c r="D147" s="1" t="s">
        <v>36</v>
      </c>
      <c r="E147" s="1" t="s">
        <v>13</v>
      </c>
      <c r="F147" s="1">
        <v>10</v>
      </c>
      <c r="G147" s="7">
        <v>8000</v>
      </c>
      <c r="H147" s="3">
        <v>3</v>
      </c>
      <c r="I147" s="2">
        <f>(salesdata[[#This Row],[Discount]]/100)</f>
        <v>0.03</v>
      </c>
      <c r="J147" s="9">
        <v>77600</v>
      </c>
      <c r="K147" s="5" t="s">
        <v>14</v>
      </c>
      <c r="L147" s="5" t="s">
        <v>98</v>
      </c>
      <c r="M147" s="5" t="s">
        <v>81</v>
      </c>
      <c r="N147" s="5" t="s">
        <v>20</v>
      </c>
      <c r="O147" s="1" t="str">
        <f>TEXT(salesdata[[#This Row],[Order_Date]],"mmm")</f>
        <v>Mar</v>
      </c>
      <c r="P147" s="1">
        <f>YEAR(salesdata[[#This Row],[Order_Date]])</f>
        <v>2024</v>
      </c>
      <c r="Q147" s="1" t="str">
        <f t="shared" si="2"/>
        <v>Q1</v>
      </c>
    </row>
    <row r="148" spans="1:17" x14ac:dyDescent="0.3">
      <c r="A148" s="1">
        <v>10147</v>
      </c>
      <c r="B148" s="1" t="s">
        <v>363</v>
      </c>
      <c r="C148" s="1" t="s">
        <v>364</v>
      </c>
      <c r="D148" s="1" t="s">
        <v>119</v>
      </c>
      <c r="E148" s="1" t="s">
        <v>13</v>
      </c>
      <c r="F148" s="1">
        <v>4</v>
      </c>
      <c r="G148" s="7">
        <v>5000</v>
      </c>
      <c r="H148" s="3">
        <v>20</v>
      </c>
      <c r="I148" s="2">
        <f>(salesdata[[#This Row],[Discount]]/100)</f>
        <v>0.2</v>
      </c>
      <c r="J148" s="8">
        <v>16000</v>
      </c>
      <c r="K148" s="4" t="s">
        <v>37</v>
      </c>
      <c r="L148" s="4" t="s">
        <v>35</v>
      </c>
      <c r="M148" s="4" t="s">
        <v>19</v>
      </c>
      <c r="N148" s="4" t="s">
        <v>34</v>
      </c>
      <c r="O148" s="1" t="str">
        <f>TEXT(salesdata[[#This Row],[Order_Date]],"mmm")</f>
        <v>Nov</v>
      </c>
      <c r="P148" s="1">
        <f>YEAR(salesdata[[#This Row],[Order_Date]])</f>
        <v>2024</v>
      </c>
      <c r="Q148" s="1" t="str">
        <f t="shared" si="2"/>
        <v>Q4</v>
      </c>
    </row>
    <row r="149" spans="1:17" x14ac:dyDescent="0.3">
      <c r="A149" s="1">
        <v>10148</v>
      </c>
      <c r="B149" s="1" t="s">
        <v>365</v>
      </c>
      <c r="C149" s="1" t="s">
        <v>366</v>
      </c>
      <c r="D149" s="1" t="s">
        <v>42</v>
      </c>
      <c r="E149" s="1" t="s">
        <v>13</v>
      </c>
      <c r="F149" s="1">
        <v>3</v>
      </c>
      <c r="G149" s="7">
        <v>25000</v>
      </c>
      <c r="H149" s="3">
        <v>12</v>
      </c>
      <c r="I149" s="2">
        <f>(salesdata[[#This Row],[Discount]]/100)</f>
        <v>0.12</v>
      </c>
      <c r="J149" s="9">
        <v>66000</v>
      </c>
      <c r="K149" s="5" t="s">
        <v>18</v>
      </c>
      <c r="L149" s="5" t="s">
        <v>24</v>
      </c>
      <c r="M149" s="5" t="s">
        <v>25</v>
      </c>
      <c r="N149" s="5" t="s">
        <v>20</v>
      </c>
      <c r="O149" s="1" t="str">
        <f>TEXT(salesdata[[#This Row],[Order_Date]],"mmm")</f>
        <v>Jan</v>
      </c>
      <c r="P149" s="1">
        <f>YEAR(salesdata[[#This Row],[Order_Date]])</f>
        <v>2024</v>
      </c>
      <c r="Q149" s="1" t="str">
        <f t="shared" si="2"/>
        <v>Q1</v>
      </c>
    </row>
    <row r="150" spans="1:17" x14ac:dyDescent="0.3">
      <c r="A150" s="1">
        <v>10149</v>
      </c>
      <c r="B150" s="1" t="s">
        <v>367</v>
      </c>
      <c r="C150" s="1" t="s">
        <v>368</v>
      </c>
      <c r="D150" s="1" t="s">
        <v>29</v>
      </c>
      <c r="E150" s="1" t="s">
        <v>13</v>
      </c>
      <c r="F150" s="1">
        <v>5</v>
      </c>
      <c r="G150" s="7">
        <v>500</v>
      </c>
      <c r="H150" s="3">
        <v>17</v>
      </c>
      <c r="I150" s="2">
        <f>(salesdata[[#This Row],[Discount]]/100)</f>
        <v>0.17</v>
      </c>
      <c r="J150" s="8">
        <v>2075</v>
      </c>
      <c r="K150" s="4" t="s">
        <v>23</v>
      </c>
      <c r="L150" s="4" t="s">
        <v>35</v>
      </c>
      <c r="M150" s="4" t="s">
        <v>81</v>
      </c>
      <c r="N150" s="4" t="s">
        <v>34</v>
      </c>
      <c r="O150" s="1" t="str">
        <f>TEXT(salesdata[[#This Row],[Order_Date]],"mmm")</f>
        <v>Aug</v>
      </c>
      <c r="P150" s="1">
        <f>YEAR(salesdata[[#This Row],[Order_Date]])</f>
        <v>2024</v>
      </c>
      <c r="Q150" s="1" t="str">
        <f t="shared" si="2"/>
        <v>Q3</v>
      </c>
    </row>
    <row r="151" spans="1:17" x14ac:dyDescent="0.3">
      <c r="A151" s="1">
        <v>10150</v>
      </c>
      <c r="B151" s="1" t="s">
        <v>369</v>
      </c>
      <c r="C151" s="1" t="s">
        <v>370</v>
      </c>
      <c r="D151" s="1" t="s">
        <v>32</v>
      </c>
      <c r="E151" s="1" t="s">
        <v>28</v>
      </c>
      <c r="F151" s="1">
        <v>8</v>
      </c>
      <c r="G151" s="7">
        <v>3000</v>
      </c>
      <c r="H151" s="3">
        <v>16</v>
      </c>
      <c r="I151" s="2">
        <f>(salesdata[[#This Row],[Discount]]/100)</f>
        <v>0.16</v>
      </c>
      <c r="J151" s="9">
        <v>20160</v>
      </c>
      <c r="K151" s="5" t="s">
        <v>30</v>
      </c>
      <c r="L151" s="5" t="s">
        <v>91</v>
      </c>
      <c r="M151" s="5" t="s">
        <v>40</v>
      </c>
      <c r="N151" s="5" t="s">
        <v>16</v>
      </c>
      <c r="O151" s="1" t="str">
        <f>TEXT(salesdata[[#This Row],[Order_Date]],"mmm")</f>
        <v>Nov</v>
      </c>
      <c r="P151" s="1">
        <f>YEAR(salesdata[[#This Row],[Order_Date]])</f>
        <v>2024</v>
      </c>
      <c r="Q151" s="1" t="str">
        <f t="shared" si="2"/>
        <v>Q4</v>
      </c>
    </row>
    <row r="152" spans="1:17" x14ac:dyDescent="0.3">
      <c r="A152" s="1">
        <v>10151</v>
      </c>
      <c r="B152" s="1" t="s">
        <v>371</v>
      </c>
      <c r="C152" s="1" t="s">
        <v>372</v>
      </c>
      <c r="D152" s="1" t="s">
        <v>17</v>
      </c>
      <c r="E152" s="1" t="s">
        <v>13</v>
      </c>
      <c r="F152" s="1">
        <v>2</v>
      </c>
      <c r="G152" s="7">
        <v>2000</v>
      </c>
      <c r="H152" s="3">
        <v>11</v>
      </c>
      <c r="I152" s="2">
        <f>(salesdata[[#This Row],[Discount]]/100)</f>
        <v>0.11</v>
      </c>
      <c r="J152" s="8">
        <v>3560</v>
      </c>
      <c r="K152" s="4" t="s">
        <v>39</v>
      </c>
      <c r="L152" s="4" t="s">
        <v>24</v>
      </c>
      <c r="M152" s="4" t="s">
        <v>40</v>
      </c>
      <c r="N152" s="4" t="s">
        <v>16</v>
      </c>
      <c r="O152" s="1" t="str">
        <f>TEXT(salesdata[[#This Row],[Order_Date]],"mmm")</f>
        <v>Feb</v>
      </c>
      <c r="P152" s="1">
        <f>YEAR(salesdata[[#This Row],[Order_Date]])</f>
        <v>2024</v>
      </c>
      <c r="Q152" s="1" t="str">
        <f t="shared" si="2"/>
        <v>Q1</v>
      </c>
    </row>
    <row r="153" spans="1:17" x14ac:dyDescent="0.3">
      <c r="A153" s="1">
        <v>10152</v>
      </c>
      <c r="B153" s="1" t="s">
        <v>373</v>
      </c>
      <c r="C153" s="1" t="s">
        <v>374</v>
      </c>
      <c r="D153" s="1" t="s">
        <v>17</v>
      </c>
      <c r="E153" s="1" t="s">
        <v>13</v>
      </c>
      <c r="F153" s="1">
        <v>8</v>
      </c>
      <c r="G153" s="7">
        <v>2000</v>
      </c>
      <c r="H153" s="3">
        <v>20</v>
      </c>
      <c r="I153" s="2">
        <f>(salesdata[[#This Row],[Discount]]/100)</f>
        <v>0.2</v>
      </c>
      <c r="J153" s="9">
        <v>12800</v>
      </c>
      <c r="K153" s="5" t="s">
        <v>39</v>
      </c>
      <c r="L153" s="5" t="s">
        <v>15</v>
      </c>
      <c r="M153" s="5" t="s">
        <v>160</v>
      </c>
      <c r="N153" s="5" t="s">
        <v>16</v>
      </c>
      <c r="O153" s="1" t="str">
        <f>TEXT(salesdata[[#This Row],[Order_Date]],"mmm")</f>
        <v>Mar</v>
      </c>
      <c r="P153" s="1">
        <f>YEAR(salesdata[[#This Row],[Order_Date]])</f>
        <v>2024</v>
      </c>
      <c r="Q153" s="1" t="str">
        <f t="shared" si="2"/>
        <v>Q1</v>
      </c>
    </row>
    <row r="154" spans="1:17" x14ac:dyDescent="0.3">
      <c r="A154" s="1">
        <v>10153</v>
      </c>
      <c r="B154" s="1" t="s">
        <v>309</v>
      </c>
      <c r="C154" s="1" t="s">
        <v>375</v>
      </c>
      <c r="D154" s="1" t="s">
        <v>36</v>
      </c>
      <c r="E154" s="1" t="s">
        <v>13</v>
      </c>
      <c r="F154" s="1">
        <v>3</v>
      </c>
      <c r="G154" s="7">
        <v>8000</v>
      </c>
      <c r="H154" s="3">
        <v>20</v>
      </c>
      <c r="I154" s="2">
        <f>(salesdata[[#This Row],[Discount]]/100)</f>
        <v>0.2</v>
      </c>
      <c r="J154" s="8">
        <v>19200</v>
      </c>
      <c r="K154" s="4" t="s">
        <v>23</v>
      </c>
      <c r="L154" s="4" t="s">
        <v>15</v>
      </c>
      <c r="M154" s="4" t="s">
        <v>101</v>
      </c>
      <c r="N154" s="4" t="s">
        <v>31</v>
      </c>
      <c r="O154" s="1" t="str">
        <f>TEXT(salesdata[[#This Row],[Order_Date]],"mmm")</f>
        <v>Jun</v>
      </c>
      <c r="P154" s="1">
        <f>YEAR(salesdata[[#This Row],[Order_Date]])</f>
        <v>2024</v>
      </c>
      <c r="Q154" s="1" t="str">
        <f t="shared" si="2"/>
        <v>Q2</v>
      </c>
    </row>
    <row r="155" spans="1:17" x14ac:dyDescent="0.3">
      <c r="A155" s="1">
        <v>10154</v>
      </c>
      <c r="B155" s="1" t="s">
        <v>376</v>
      </c>
      <c r="C155" s="1" t="s">
        <v>377</v>
      </c>
      <c r="D155" s="1" t="s">
        <v>27</v>
      </c>
      <c r="E155" s="1" t="s">
        <v>28</v>
      </c>
      <c r="F155" s="1">
        <v>9</v>
      </c>
      <c r="G155" s="7">
        <v>7000</v>
      </c>
      <c r="H155" s="3">
        <v>8</v>
      </c>
      <c r="I155" s="2">
        <f>(salesdata[[#This Row],[Discount]]/100)</f>
        <v>0.08</v>
      </c>
      <c r="J155" s="9">
        <v>57960</v>
      </c>
      <c r="K155" s="5" t="s">
        <v>39</v>
      </c>
      <c r="L155" s="5" t="s">
        <v>91</v>
      </c>
      <c r="M155" s="5" t="s">
        <v>25</v>
      </c>
      <c r="N155" s="5" t="s">
        <v>31</v>
      </c>
      <c r="O155" s="1" t="str">
        <f>TEXT(salesdata[[#This Row],[Order_Date]],"mmm")</f>
        <v>Apr</v>
      </c>
      <c r="P155" s="1">
        <f>YEAR(salesdata[[#This Row],[Order_Date]])</f>
        <v>2024</v>
      </c>
      <c r="Q155" s="1" t="str">
        <f t="shared" si="2"/>
        <v>Q2</v>
      </c>
    </row>
    <row r="156" spans="1:17" x14ac:dyDescent="0.3">
      <c r="A156" s="1">
        <v>10155</v>
      </c>
      <c r="B156" s="1" t="s">
        <v>378</v>
      </c>
      <c r="C156" s="1" t="s">
        <v>379</v>
      </c>
      <c r="D156" s="1" t="s">
        <v>17</v>
      </c>
      <c r="E156" s="1" t="s">
        <v>13</v>
      </c>
      <c r="F156" s="1">
        <v>5</v>
      </c>
      <c r="G156" s="7">
        <v>2000</v>
      </c>
      <c r="H156" s="3">
        <v>4</v>
      </c>
      <c r="I156" s="2">
        <f>(salesdata[[#This Row],[Discount]]/100)</f>
        <v>0.04</v>
      </c>
      <c r="J156" s="8">
        <v>9600</v>
      </c>
      <c r="K156" s="4" t="s">
        <v>23</v>
      </c>
      <c r="L156" s="4" t="s">
        <v>98</v>
      </c>
      <c r="M156" s="4" t="s">
        <v>101</v>
      </c>
      <c r="N156" s="4" t="s">
        <v>31</v>
      </c>
      <c r="O156" s="1" t="str">
        <f>TEXT(salesdata[[#This Row],[Order_Date]],"mmm")</f>
        <v>Apr</v>
      </c>
      <c r="P156" s="1">
        <f>YEAR(salesdata[[#This Row],[Order_Date]])</f>
        <v>2024</v>
      </c>
      <c r="Q156" s="1" t="str">
        <f t="shared" si="2"/>
        <v>Q2</v>
      </c>
    </row>
    <row r="157" spans="1:17" x14ac:dyDescent="0.3">
      <c r="A157" s="1">
        <v>10156</v>
      </c>
      <c r="B157" s="1" t="s">
        <v>371</v>
      </c>
      <c r="C157" s="1" t="s">
        <v>380</v>
      </c>
      <c r="D157" s="1" t="s">
        <v>42</v>
      </c>
      <c r="E157" s="1" t="s">
        <v>13</v>
      </c>
      <c r="F157" s="1">
        <v>9</v>
      </c>
      <c r="G157" s="7">
        <v>25000</v>
      </c>
      <c r="H157" s="3">
        <v>18</v>
      </c>
      <c r="I157" s="2">
        <f>(salesdata[[#This Row],[Discount]]/100)</f>
        <v>0.18</v>
      </c>
      <c r="J157" s="9">
        <v>184500</v>
      </c>
      <c r="K157" s="5" t="s">
        <v>14</v>
      </c>
      <c r="L157" s="5" t="s">
        <v>98</v>
      </c>
      <c r="M157" s="5" t="s">
        <v>160</v>
      </c>
      <c r="N157" s="5" t="s">
        <v>34</v>
      </c>
      <c r="O157" s="1" t="str">
        <f>TEXT(salesdata[[#This Row],[Order_Date]],"mmm")</f>
        <v>Feb</v>
      </c>
      <c r="P157" s="1">
        <f>YEAR(salesdata[[#This Row],[Order_Date]])</f>
        <v>2024</v>
      </c>
      <c r="Q157" s="1" t="str">
        <f t="shared" si="2"/>
        <v>Q1</v>
      </c>
    </row>
    <row r="158" spans="1:17" x14ac:dyDescent="0.3">
      <c r="A158" s="1">
        <v>10157</v>
      </c>
      <c r="B158" s="1" t="s">
        <v>381</v>
      </c>
      <c r="C158" s="1" t="s">
        <v>382</v>
      </c>
      <c r="D158" s="1" t="s">
        <v>12</v>
      </c>
      <c r="E158" s="1" t="s">
        <v>13</v>
      </c>
      <c r="F158" s="1">
        <v>5</v>
      </c>
      <c r="G158" s="7">
        <v>50000</v>
      </c>
      <c r="H158" s="3">
        <v>1</v>
      </c>
      <c r="I158" s="2">
        <f>(salesdata[[#This Row],[Discount]]/100)</f>
        <v>0.01</v>
      </c>
      <c r="J158" s="8">
        <v>247500</v>
      </c>
      <c r="K158" s="4" t="s">
        <v>85</v>
      </c>
      <c r="L158" s="4" t="s">
        <v>91</v>
      </c>
      <c r="M158" s="4" t="s">
        <v>81</v>
      </c>
      <c r="N158" s="4" t="s">
        <v>34</v>
      </c>
      <c r="O158" s="1" t="str">
        <f>TEXT(salesdata[[#This Row],[Order_Date]],"mmm")</f>
        <v>Jan</v>
      </c>
      <c r="P158" s="1">
        <f>YEAR(salesdata[[#This Row],[Order_Date]])</f>
        <v>2024</v>
      </c>
      <c r="Q158" s="1" t="str">
        <f t="shared" si="2"/>
        <v>Q1</v>
      </c>
    </row>
    <row r="159" spans="1:17" x14ac:dyDescent="0.3">
      <c r="A159" s="1">
        <v>10158</v>
      </c>
      <c r="B159" s="1" t="s">
        <v>383</v>
      </c>
      <c r="C159" s="1" t="s">
        <v>384</v>
      </c>
      <c r="D159" s="1" t="s">
        <v>17</v>
      </c>
      <c r="E159" s="1" t="s">
        <v>13</v>
      </c>
      <c r="F159" s="1">
        <v>2</v>
      </c>
      <c r="G159" s="7">
        <v>2000</v>
      </c>
      <c r="H159" s="3">
        <v>2</v>
      </c>
      <c r="I159" s="2">
        <f>(salesdata[[#This Row],[Discount]]/100)</f>
        <v>0.02</v>
      </c>
      <c r="J159" s="9">
        <v>3920</v>
      </c>
      <c r="K159" s="5" t="s">
        <v>14</v>
      </c>
      <c r="L159" s="5" t="s">
        <v>15</v>
      </c>
      <c r="M159" s="5" t="s">
        <v>33</v>
      </c>
      <c r="N159" s="5" t="s">
        <v>31</v>
      </c>
      <c r="O159" s="1" t="str">
        <f>TEXT(salesdata[[#This Row],[Order_Date]],"mmm")</f>
        <v>Jun</v>
      </c>
      <c r="P159" s="1">
        <f>YEAR(salesdata[[#This Row],[Order_Date]])</f>
        <v>2024</v>
      </c>
      <c r="Q159" s="1" t="str">
        <f t="shared" si="2"/>
        <v>Q2</v>
      </c>
    </row>
    <row r="160" spans="1:17" x14ac:dyDescent="0.3">
      <c r="A160" s="1">
        <v>10159</v>
      </c>
      <c r="B160" s="1" t="s">
        <v>385</v>
      </c>
      <c r="C160" s="1" t="s">
        <v>386</v>
      </c>
      <c r="D160" s="1" t="s">
        <v>17</v>
      </c>
      <c r="E160" s="1" t="s">
        <v>13</v>
      </c>
      <c r="F160" s="1">
        <v>8</v>
      </c>
      <c r="G160" s="7">
        <v>2000</v>
      </c>
      <c r="H160" s="3">
        <v>0</v>
      </c>
      <c r="I160" s="2">
        <f>(salesdata[[#This Row],[Discount]]/100)</f>
        <v>0</v>
      </c>
      <c r="J160" s="8">
        <v>16000</v>
      </c>
      <c r="K160" s="4" t="s">
        <v>39</v>
      </c>
      <c r="L160" s="4" t="s">
        <v>24</v>
      </c>
      <c r="M160" s="4" t="s">
        <v>81</v>
      </c>
      <c r="N160" s="4" t="s">
        <v>34</v>
      </c>
      <c r="O160" s="1" t="str">
        <f>TEXT(salesdata[[#This Row],[Order_Date]],"mmm")</f>
        <v>Sep</v>
      </c>
      <c r="P160" s="1">
        <f>YEAR(salesdata[[#This Row],[Order_Date]])</f>
        <v>2024</v>
      </c>
      <c r="Q160" s="1" t="str">
        <f t="shared" si="2"/>
        <v>Q3</v>
      </c>
    </row>
    <row r="161" spans="1:17" x14ac:dyDescent="0.3">
      <c r="A161" s="1">
        <v>10160</v>
      </c>
      <c r="B161" s="1" t="s">
        <v>387</v>
      </c>
      <c r="C161" s="1" t="s">
        <v>388</v>
      </c>
      <c r="D161" s="1" t="s">
        <v>42</v>
      </c>
      <c r="E161" s="1" t="s">
        <v>13</v>
      </c>
      <c r="F161" s="1">
        <v>6</v>
      </c>
      <c r="G161" s="7">
        <v>25000</v>
      </c>
      <c r="H161" s="3">
        <v>13</v>
      </c>
      <c r="I161" s="2">
        <f>(salesdata[[#This Row],[Discount]]/100)</f>
        <v>0.13</v>
      </c>
      <c r="J161" s="9">
        <v>130500</v>
      </c>
      <c r="K161" s="5" t="s">
        <v>88</v>
      </c>
      <c r="L161" s="5" t="s">
        <v>24</v>
      </c>
      <c r="M161" s="5" t="s">
        <v>19</v>
      </c>
      <c r="N161" s="5" t="s">
        <v>20</v>
      </c>
      <c r="O161" s="1" t="str">
        <f>TEXT(salesdata[[#This Row],[Order_Date]],"mmm")</f>
        <v>Dec</v>
      </c>
      <c r="P161" s="1">
        <f>YEAR(salesdata[[#This Row],[Order_Date]])</f>
        <v>2024</v>
      </c>
      <c r="Q161" s="1" t="str">
        <f t="shared" si="2"/>
        <v>Q4</v>
      </c>
    </row>
    <row r="162" spans="1:17" x14ac:dyDescent="0.3">
      <c r="A162" s="1">
        <v>10161</v>
      </c>
      <c r="B162" s="1" t="s">
        <v>389</v>
      </c>
      <c r="C162" s="1" t="s">
        <v>390</v>
      </c>
      <c r="D162" s="1" t="s">
        <v>42</v>
      </c>
      <c r="E162" s="1" t="s">
        <v>13</v>
      </c>
      <c r="F162" s="1">
        <v>6</v>
      </c>
      <c r="G162" s="7">
        <v>25000</v>
      </c>
      <c r="H162" s="3">
        <v>3</v>
      </c>
      <c r="I162" s="2">
        <f>(salesdata[[#This Row],[Discount]]/100)</f>
        <v>0.03</v>
      </c>
      <c r="J162" s="8">
        <v>145500</v>
      </c>
      <c r="K162" s="4" t="s">
        <v>23</v>
      </c>
      <c r="L162" s="4" t="s">
        <v>98</v>
      </c>
      <c r="M162" s="4" t="s">
        <v>101</v>
      </c>
      <c r="N162" s="4" t="s">
        <v>20</v>
      </c>
      <c r="O162" s="1" t="str">
        <f>TEXT(salesdata[[#This Row],[Order_Date]],"mmm")</f>
        <v>Apr</v>
      </c>
      <c r="P162" s="1">
        <f>YEAR(salesdata[[#This Row],[Order_Date]])</f>
        <v>2024</v>
      </c>
      <c r="Q162" s="1" t="str">
        <f t="shared" si="2"/>
        <v>Q2</v>
      </c>
    </row>
    <row r="163" spans="1:17" x14ac:dyDescent="0.3">
      <c r="A163" s="1">
        <v>10162</v>
      </c>
      <c r="B163" s="1" t="s">
        <v>391</v>
      </c>
      <c r="C163" s="1" t="s">
        <v>392</v>
      </c>
      <c r="D163" s="1" t="s">
        <v>12</v>
      </c>
      <c r="E163" s="1" t="s">
        <v>13</v>
      </c>
      <c r="F163" s="1">
        <v>4</v>
      </c>
      <c r="G163" s="7">
        <v>50000</v>
      </c>
      <c r="H163" s="3">
        <v>17</v>
      </c>
      <c r="I163" s="2">
        <f>(salesdata[[#This Row],[Discount]]/100)</f>
        <v>0.17</v>
      </c>
      <c r="J163" s="9">
        <v>166000</v>
      </c>
      <c r="K163" s="5" t="s">
        <v>85</v>
      </c>
      <c r="L163" s="5" t="s">
        <v>15</v>
      </c>
      <c r="M163" s="5" t="s">
        <v>101</v>
      </c>
      <c r="N163" s="5" t="s">
        <v>16</v>
      </c>
      <c r="O163" s="1" t="str">
        <f>TEXT(salesdata[[#This Row],[Order_Date]],"mmm")</f>
        <v>Jul</v>
      </c>
      <c r="P163" s="1">
        <f>YEAR(salesdata[[#This Row],[Order_Date]])</f>
        <v>2024</v>
      </c>
      <c r="Q163" s="1" t="str">
        <f t="shared" si="2"/>
        <v>Q3</v>
      </c>
    </row>
    <row r="164" spans="1:17" x14ac:dyDescent="0.3">
      <c r="A164" s="1">
        <v>10163</v>
      </c>
      <c r="B164" s="1" t="s">
        <v>393</v>
      </c>
      <c r="C164" s="1" t="s">
        <v>394</v>
      </c>
      <c r="D164" s="1" t="s">
        <v>12</v>
      </c>
      <c r="E164" s="1" t="s">
        <v>13</v>
      </c>
      <c r="F164" s="1">
        <v>8</v>
      </c>
      <c r="G164" s="7">
        <v>50000</v>
      </c>
      <c r="H164" s="3">
        <v>20</v>
      </c>
      <c r="I164" s="2">
        <f>(salesdata[[#This Row],[Discount]]/100)</f>
        <v>0.2</v>
      </c>
      <c r="J164" s="8">
        <v>320000</v>
      </c>
      <c r="K164" s="4" t="s">
        <v>37</v>
      </c>
      <c r="L164" s="4" t="s">
        <v>24</v>
      </c>
      <c r="M164" s="4" t="s">
        <v>101</v>
      </c>
      <c r="N164" s="4" t="s">
        <v>20</v>
      </c>
      <c r="O164" s="1" t="str">
        <f>TEXT(salesdata[[#This Row],[Order_Date]],"mmm")</f>
        <v>Aug</v>
      </c>
      <c r="P164" s="1">
        <f>YEAR(salesdata[[#This Row],[Order_Date]])</f>
        <v>2024</v>
      </c>
      <c r="Q164" s="1" t="str">
        <f t="shared" si="2"/>
        <v>Q3</v>
      </c>
    </row>
    <row r="165" spans="1:17" x14ac:dyDescent="0.3">
      <c r="A165" s="1">
        <v>10164</v>
      </c>
      <c r="B165" s="1" t="s">
        <v>395</v>
      </c>
      <c r="C165" s="1" t="s">
        <v>396</v>
      </c>
      <c r="D165" s="1" t="s">
        <v>17</v>
      </c>
      <c r="E165" s="1" t="s">
        <v>13</v>
      </c>
      <c r="F165" s="1">
        <v>8</v>
      </c>
      <c r="G165" s="7">
        <v>2000</v>
      </c>
      <c r="H165" s="3">
        <v>5</v>
      </c>
      <c r="I165" s="2">
        <f>(salesdata[[#This Row],[Discount]]/100)</f>
        <v>0.05</v>
      </c>
      <c r="J165" s="9">
        <v>15200</v>
      </c>
      <c r="K165" s="5" t="s">
        <v>23</v>
      </c>
      <c r="L165" s="5" t="s">
        <v>98</v>
      </c>
      <c r="M165" s="5" t="s">
        <v>25</v>
      </c>
      <c r="N165" s="5" t="s">
        <v>31</v>
      </c>
      <c r="O165" s="1" t="str">
        <f>TEXT(salesdata[[#This Row],[Order_Date]],"mmm")</f>
        <v>Sep</v>
      </c>
      <c r="P165" s="1">
        <f>YEAR(salesdata[[#This Row],[Order_Date]])</f>
        <v>2024</v>
      </c>
      <c r="Q165" s="1" t="str">
        <f t="shared" si="2"/>
        <v>Q3</v>
      </c>
    </row>
    <row r="166" spans="1:17" x14ac:dyDescent="0.3">
      <c r="A166" s="1">
        <v>10165</v>
      </c>
      <c r="B166" s="1" t="s">
        <v>397</v>
      </c>
      <c r="C166" s="1" t="s">
        <v>398</v>
      </c>
      <c r="D166" s="1" t="s">
        <v>22</v>
      </c>
      <c r="E166" s="1" t="s">
        <v>13</v>
      </c>
      <c r="F166" s="1">
        <v>1</v>
      </c>
      <c r="G166" s="7">
        <v>1200</v>
      </c>
      <c r="H166" s="3">
        <v>20</v>
      </c>
      <c r="I166" s="2">
        <f>(salesdata[[#This Row],[Discount]]/100)</f>
        <v>0.2</v>
      </c>
      <c r="J166" s="8">
        <v>960</v>
      </c>
      <c r="K166" s="4" t="s">
        <v>85</v>
      </c>
      <c r="L166" s="4" t="s">
        <v>98</v>
      </c>
      <c r="M166" s="4" t="s">
        <v>25</v>
      </c>
      <c r="N166" s="4" t="s">
        <v>20</v>
      </c>
      <c r="O166" s="1" t="str">
        <f>TEXT(salesdata[[#This Row],[Order_Date]],"mmm")</f>
        <v>Mar</v>
      </c>
      <c r="P166" s="1">
        <f>YEAR(salesdata[[#This Row],[Order_Date]])</f>
        <v>2024</v>
      </c>
      <c r="Q166" s="1" t="str">
        <f t="shared" si="2"/>
        <v>Q1</v>
      </c>
    </row>
    <row r="167" spans="1:17" x14ac:dyDescent="0.3">
      <c r="A167" s="1">
        <v>10166</v>
      </c>
      <c r="B167" s="1" t="s">
        <v>399</v>
      </c>
      <c r="C167" s="1" t="s">
        <v>400</v>
      </c>
      <c r="D167" s="1" t="s">
        <v>119</v>
      </c>
      <c r="E167" s="1" t="s">
        <v>13</v>
      </c>
      <c r="F167" s="1">
        <v>1</v>
      </c>
      <c r="G167" s="7">
        <v>5000</v>
      </c>
      <c r="H167" s="3">
        <v>2</v>
      </c>
      <c r="I167" s="2">
        <f>(salesdata[[#This Row],[Discount]]/100)</f>
        <v>0.02</v>
      </c>
      <c r="J167" s="9">
        <v>4900</v>
      </c>
      <c r="K167" s="5" t="s">
        <v>23</v>
      </c>
      <c r="L167" s="5" t="s">
        <v>35</v>
      </c>
      <c r="M167" s="5" t="s">
        <v>19</v>
      </c>
      <c r="N167" s="5" t="s">
        <v>34</v>
      </c>
      <c r="O167" s="1" t="str">
        <f>TEXT(salesdata[[#This Row],[Order_Date]],"mmm")</f>
        <v>Jan</v>
      </c>
      <c r="P167" s="1">
        <f>YEAR(salesdata[[#This Row],[Order_Date]])</f>
        <v>2024</v>
      </c>
      <c r="Q167" s="1" t="str">
        <f t="shared" si="2"/>
        <v>Q1</v>
      </c>
    </row>
    <row r="168" spans="1:17" x14ac:dyDescent="0.3">
      <c r="A168" s="1">
        <v>10167</v>
      </c>
      <c r="B168" s="1" t="s">
        <v>401</v>
      </c>
      <c r="C168" s="1" t="s">
        <v>402</v>
      </c>
      <c r="D168" s="1" t="s">
        <v>22</v>
      </c>
      <c r="E168" s="1" t="s">
        <v>13</v>
      </c>
      <c r="F168" s="1">
        <v>4</v>
      </c>
      <c r="G168" s="7">
        <v>1200</v>
      </c>
      <c r="H168" s="3">
        <v>11</v>
      </c>
      <c r="I168" s="2">
        <f>(salesdata[[#This Row],[Discount]]/100)</f>
        <v>0.11</v>
      </c>
      <c r="J168" s="8">
        <v>4272</v>
      </c>
      <c r="K168" s="4" t="s">
        <v>85</v>
      </c>
      <c r="L168" s="4" t="s">
        <v>98</v>
      </c>
      <c r="M168" s="4" t="s">
        <v>81</v>
      </c>
      <c r="N168" s="4" t="s">
        <v>16</v>
      </c>
      <c r="O168" s="1" t="str">
        <f>TEXT(salesdata[[#This Row],[Order_Date]],"mmm")</f>
        <v>Aug</v>
      </c>
      <c r="P168" s="1">
        <f>YEAR(salesdata[[#This Row],[Order_Date]])</f>
        <v>2024</v>
      </c>
      <c r="Q168" s="1" t="str">
        <f t="shared" si="2"/>
        <v>Q3</v>
      </c>
    </row>
    <row r="169" spans="1:17" x14ac:dyDescent="0.3">
      <c r="A169" s="1">
        <v>10168</v>
      </c>
      <c r="B169" s="1" t="s">
        <v>403</v>
      </c>
      <c r="C169" s="1" t="s">
        <v>404</v>
      </c>
      <c r="D169" s="1" t="s">
        <v>22</v>
      </c>
      <c r="E169" s="1" t="s">
        <v>13</v>
      </c>
      <c r="F169" s="1">
        <v>8</v>
      </c>
      <c r="G169" s="7">
        <v>1200</v>
      </c>
      <c r="H169" s="3">
        <v>19</v>
      </c>
      <c r="I169" s="2">
        <f>(salesdata[[#This Row],[Discount]]/100)</f>
        <v>0.19</v>
      </c>
      <c r="J169" s="9">
        <v>7776</v>
      </c>
      <c r="K169" s="5" t="s">
        <v>18</v>
      </c>
      <c r="L169" s="5" t="s">
        <v>24</v>
      </c>
      <c r="M169" s="5" t="s">
        <v>44</v>
      </c>
      <c r="N169" s="5" t="s">
        <v>20</v>
      </c>
      <c r="O169" s="1" t="str">
        <f>TEXT(salesdata[[#This Row],[Order_Date]],"mmm")</f>
        <v>Sep</v>
      </c>
      <c r="P169" s="1">
        <f>YEAR(salesdata[[#This Row],[Order_Date]])</f>
        <v>2024</v>
      </c>
      <c r="Q169" s="1" t="str">
        <f t="shared" si="2"/>
        <v>Q3</v>
      </c>
    </row>
    <row r="170" spans="1:17" x14ac:dyDescent="0.3">
      <c r="A170" s="1">
        <v>10169</v>
      </c>
      <c r="B170" s="1" t="s">
        <v>330</v>
      </c>
      <c r="C170" s="1" t="s">
        <v>405</v>
      </c>
      <c r="D170" s="1" t="s">
        <v>36</v>
      </c>
      <c r="E170" s="1" t="s">
        <v>13</v>
      </c>
      <c r="F170" s="1">
        <v>4</v>
      </c>
      <c r="G170" s="7">
        <v>8000</v>
      </c>
      <c r="H170" s="3">
        <v>3</v>
      </c>
      <c r="I170" s="2">
        <f>(salesdata[[#This Row],[Discount]]/100)</f>
        <v>0.03</v>
      </c>
      <c r="J170" s="8">
        <v>31040</v>
      </c>
      <c r="K170" s="4" t="s">
        <v>30</v>
      </c>
      <c r="L170" s="4" t="s">
        <v>98</v>
      </c>
      <c r="M170" s="4" t="s">
        <v>25</v>
      </c>
      <c r="N170" s="4" t="s">
        <v>20</v>
      </c>
      <c r="O170" s="1" t="str">
        <f>TEXT(salesdata[[#This Row],[Order_Date]],"mmm")</f>
        <v>Aug</v>
      </c>
      <c r="P170" s="1">
        <f>YEAR(salesdata[[#This Row],[Order_Date]])</f>
        <v>2024</v>
      </c>
      <c r="Q170" s="1" t="str">
        <f t="shared" si="2"/>
        <v>Q3</v>
      </c>
    </row>
    <row r="171" spans="1:17" x14ac:dyDescent="0.3">
      <c r="A171" s="1">
        <v>10170</v>
      </c>
      <c r="B171" s="1" t="s">
        <v>359</v>
      </c>
      <c r="C171" s="1" t="s">
        <v>406</v>
      </c>
      <c r="D171" s="1" t="s">
        <v>29</v>
      </c>
      <c r="E171" s="1" t="s">
        <v>13</v>
      </c>
      <c r="F171" s="1">
        <v>2</v>
      </c>
      <c r="G171" s="7">
        <v>500</v>
      </c>
      <c r="H171" s="3">
        <v>0</v>
      </c>
      <c r="I171" s="2">
        <f>(salesdata[[#This Row],[Discount]]/100)</f>
        <v>0</v>
      </c>
      <c r="J171" s="9">
        <v>1000</v>
      </c>
      <c r="K171" s="5" t="s">
        <v>39</v>
      </c>
      <c r="L171" s="5" t="s">
        <v>35</v>
      </c>
      <c r="M171" s="5" t="s">
        <v>101</v>
      </c>
      <c r="N171" s="5" t="s">
        <v>20</v>
      </c>
      <c r="O171" s="1" t="str">
        <f>TEXT(salesdata[[#This Row],[Order_Date]],"mmm")</f>
        <v>Jul</v>
      </c>
      <c r="P171" s="1">
        <f>YEAR(salesdata[[#This Row],[Order_Date]])</f>
        <v>2024</v>
      </c>
      <c r="Q171" s="1" t="str">
        <f t="shared" si="2"/>
        <v>Q3</v>
      </c>
    </row>
    <row r="172" spans="1:17" x14ac:dyDescent="0.3">
      <c r="A172" s="1">
        <v>10171</v>
      </c>
      <c r="B172" s="1" t="s">
        <v>407</v>
      </c>
      <c r="C172" s="1" t="s">
        <v>408</v>
      </c>
      <c r="D172" s="1" t="s">
        <v>36</v>
      </c>
      <c r="E172" s="1" t="s">
        <v>13</v>
      </c>
      <c r="F172" s="1">
        <v>7</v>
      </c>
      <c r="G172" s="7">
        <v>8000</v>
      </c>
      <c r="H172" s="3">
        <v>16</v>
      </c>
      <c r="I172" s="2">
        <f>(salesdata[[#This Row],[Discount]]/100)</f>
        <v>0.16</v>
      </c>
      <c r="J172" s="8">
        <v>47040</v>
      </c>
      <c r="K172" s="4" t="s">
        <v>88</v>
      </c>
      <c r="L172" s="4" t="s">
        <v>24</v>
      </c>
      <c r="M172" s="4" t="s">
        <v>101</v>
      </c>
      <c r="N172" s="4" t="s">
        <v>16</v>
      </c>
      <c r="O172" s="1" t="str">
        <f>TEXT(salesdata[[#This Row],[Order_Date]],"mmm")</f>
        <v>Nov</v>
      </c>
      <c r="P172" s="1">
        <f>YEAR(salesdata[[#This Row],[Order_Date]])</f>
        <v>2024</v>
      </c>
      <c r="Q172" s="1" t="str">
        <f t="shared" si="2"/>
        <v>Q4</v>
      </c>
    </row>
    <row r="173" spans="1:17" x14ac:dyDescent="0.3">
      <c r="A173" s="1">
        <v>10172</v>
      </c>
      <c r="B173" s="1" t="s">
        <v>409</v>
      </c>
      <c r="C173" s="1" t="s">
        <v>410</v>
      </c>
      <c r="D173" s="1" t="s">
        <v>27</v>
      </c>
      <c r="E173" s="1" t="s">
        <v>28</v>
      </c>
      <c r="F173" s="1">
        <v>1</v>
      </c>
      <c r="G173" s="7">
        <v>7000</v>
      </c>
      <c r="H173" s="3">
        <v>4</v>
      </c>
      <c r="I173" s="2">
        <f>(salesdata[[#This Row],[Discount]]/100)</f>
        <v>0.04</v>
      </c>
      <c r="J173" s="9">
        <v>6720</v>
      </c>
      <c r="K173" s="5" t="s">
        <v>88</v>
      </c>
      <c r="L173" s="5" t="s">
        <v>15</v>
      </c>
      <c r="M173" s="5" t="s">
        <v>101</v>
      </c>
      <c r="N173" s="5" t="s">
        <v>34</v>
      </c>
      <c r="O173" s="1" t="str">
        <f>TEXT(salesdata[[#This Row],[Order_Date]],"mmm")</f>
        <v>Jan</v>
      </c>
      <c r="P173" s="1">
        <f>YEAR(salesdata[[#This Row],[Order_Date]])</f>
        <v>2024</v>
      </c>
      <c r="Q173" s="1" t="str">
        <f t="shared" si="2"/>
        <v>Q1</v>
      </c>
    </row>
    <row r="174" spans="1:17" x14ac:dyDescent="0.3">
      <c r="A174" s="1">
        <v>10173</v>
      </c>
      <c r="B174" s="1" t="s">
        <v>313</v>
      </c>
      <c r="C174" s="1" t="s">
        <v>411</v>
      </c>
      <c r="D174" s="1" t="s">
        <v>22</v>
      </c>
      <c r="E174" s="1" t="s">
        <v>13</v>
      </c>
      <c r="F174" s="1">
        <v>10</v>
      </c>
      <c r="G174" s="7">
        <v>1200</v>
      </c>
      <c r="H174" s="3">
        <v>6</v>
      </c>
      <c r="I174" s="2">
        <f>(salesdata[[#This Row],[Discount]]/100)</f>
        <v>0.06</v>
      </c>
      <c r="J174" s="8">
        <v>11280</v>
      </c>
      <c r="K174" s="4" t="s">
        <v>30</v>
      </c>
      <c r="L174" s="4" t="s">
        <v>24</v>
      </c>
      <c r="M174" s="4" t="s">
        <v>25</v>
      </c>
      <c r="N174" s="4" t="s">
        <v>16</v>
      </c>
      <c r="O174" s="1" t="str">
        <f>TEXT(salesdata[[#This Row],[Order_Date]],"mmm")</f>
        <v>May</v>
      </c>
      <c r="P174" s="1">
        <f>YEAR(salesdata[[#This Row],[Order_Date]])</f>
        <v>2024</v>
      </c>
      <c r="Q174" s="1" t="str">
        <f t="shared" si="2"/>
        <v>Q2</v>
      </c>
    </row>
    <row r="175" spans="1:17" x14ac:dyDescent="0.3">
      <c r="A175" s="1">
        <v>10174</v>
      </c>
      <c r="B175" s="1" t="s">
        <v>412</v>
      </c>
      <c r="C175" s="1" t="s">
        <v>413</v>
      </c>
      <c r="D175" s="1" t="s">
        <v>22</v>
      </c>
      <c r="E175" s="1" t="s">
        <v>13</v>
      </c>
      <c r="F175" s="1">
        <v>3</v>
      </c>
      <c r="G175" s="7">
        <v>1200</v>
      </c>
      <c r="H175" s="3">
        <v>15</v>
      </c>
      <c r="I175" s="2">
        <f>(salesdata[[#This Row],[Discount]]/100)</f>
        <v>0.15</v>
      </c>
      <c r="J175" s="9">
        <v>3060</v>
      </c>
      <c r="K175" s="5" t="s">
        <v>30</v>
      </c>
      <c r="L175" s="5" t="s">
        <v>24</v>
      </c>
      <c r="M175" s="5" t="s">
        <v>19</v>
      </c>
      <c r="N175" s="5" t="s">
        <v>16</v>
      </c>
      <c r="O175" s="1" t="str">
        <f>TEXT(salesdata[[#This Row],[Order_Date]],"mmm")</f>
        <v>May</v>
      </c>
      <c r="P175" s="1">
        <f>YEAR(salesdata[[#This Row],[Order_Date]])</f>
        <v>2024</v>
      </c>
      <c r="Q175" s="1" t="str">
        <f t="shared" si="2"/>
        <v>Q2</v>
      </c>
    </row>
    <row r="176" spans="1:17" x14ac:dyDescent="0.3">
      <c r="A176" s="1">
        <v>10175</v>
      </c>
      <c r="B176" s="1" t="s">
        <v>285</v>
      </c>
      <c r="C176" s="1" t="s">
        <v>414</v>
      </c>
      <c r="D176" s="1" t="s">
        <v>12</v>
      </c>
      <c r="E176" s="1" t="s">
        <v>13</v>
      </c>
      <c r="F176" s="1">
        <v>4</v>
      </c>
      <c r="G176" s="7">
        <v>50000</v>
      </c>
      <c r="H176" s="3">
        <v>20</v>
      </c>
      <c r="I176" s="2">
        <f>(salesdata[[#This Row],[Discount]]/100)</f>
        <v>0.2</v>
      </c>
      <c r="J176" s="8">
        <v>160000</v>
      </c>
      <c r="K176" s="4" t="s">
        <v>14</v>
      </c>
      <c r="L176" s="4" t="s">
        <v>24</v>
      </c>
      <c r="M176" s="4" t="s">
        <v>44</v>
      </c>
      <c r="N176" s="4" t="s">
        <v>31</v>
      </c>
      <c r="O176" s="1" t="str">
        <f>TEXT(salesdata[[#This Row],[Order_Date]],"mmm")</f>
        <v>Aug</v>
      </c>
      <c r="P176" s="1">
        <f>YEAR(salesdata[[#This Row],[Order_Date]])</f>
        <v>2024</v>
      </c>
      <c r="Q176" s="1" t="str">
        <f t="shared" si="2"/>
        <v>Q3</v>
      </c>
    </row>
    <row r="177" spans="1:17" x14ac:dyDescent="0.3">
      <c r="A177" s="1">
        <v>10176</v>
      </c>
      <c r="B177" s="1" t="s">
        <v>415</v>
      </c>
      <c r="C177" s="1" t="s">
        <v>416</v>
      </c>
      <c r="D177" s="1" t="s">
        <v>42</v>
      </c>
      <c r="E177" s="1" t="s">
        <v>13</v>
      </c>
      <c r="F177" s="1">
        <v>5</v>
      </c>
      <c r="G177" s="7">
        <v>25000</v>
      </c>
      <c r="H177" s="3">
        <v>13</v>
      </c>
      <c r="I177" s="2">
        <f>(salesdata[[#This Row],[Discount]]/100)</f>
        <v>0.13</v>
      </c>
      <c r="J177" s="9">
        <v>108750</v>
      </c>
      <c r="K177" s="5" t="s">
        <v>18</v>
      </c>
      <c r="L177" s="5" t="s">
        <v>98</v>
      </c>
      <c r="M177" s="5" t="s">
        <v>40</v>
      </c>
      <c r="N177" s="5" t="s">
        <v>16</v>
      </c>
      <c r="O177" s="1" t="str">
        <f>TEXT(salesdata[[#This Row],[Order_Date]],"mmm")</f>
        <v>Dec</v>
      </c>
      <c r="P177" s="1">
        <f>YEAR(salesdata[[#This Row],[Order_Date]])</f>
        <v>2024</v>
      </c>
      <c r="Q177" s="1" t="str">
        <f t="shared" si="2"/>
        <v>Q4</v>
      </c>
    </row>
    <row r="178" spans="1:17" x14ac:dyDescent="0.3">
      <c r="A178" s="1">
        <v>10177</v>
      </c>
      <c r="B178" s="1" t="s">
        <v>417</v>
      </c>
      <c r="C178" s="1" t="s">
        <v>418</v>
      </c>
      <c r="D178" s="1" t="s">
        <v>119</v>
      </c>
      <c r="E178" s="1" t="s">
        <v>13</v>
      </c>
      <c r="F178" s="1">
        <v>6</v>
      </c>
      <c r="G178" s="7">
        <v>5000</v>
      </c>
      <c r="H178" s="3">
        <v>1</v>
      </c>
      <c r="I178" s="2">
        <f>(salesdata[[#This Row],[Discount]]/100)</f>
        <v>0.01</v>
      </c>
      <c r="J178" s="8">
        <v>29700</v>
      </c>
      <c r="K178" s="4" t="s">
        <v>88</v>
      </c>
      <c r="L178" s="4" t="s">
        <v>15</v>
      </c>
      <c r="M178" s="4" t="s">
        <v>81</v>
      </c>
      <c r="N178" s="4" t="s">
        <v>20</v>
      </c>
      <c r="O178" s="1" t="str">
        <f>TEXT(salesdata[[#This Row],[Order_Date]],"mmm")</f>
        <v>Sep</v>
      </c>
      <c r="P178" s="1">
        <f>YEAR(salesdata[[#This Row],[Order_Date]])</f>
        <v>2024</v>
      </c>
      <c r="Q178" s="1" t="str">
        <f t="shared" si="2"/>
        <v>Q3</v>
      </c>
    </row>
    <row r="179" spans="1:17" x14ac:dyDescent="0.3">
      <c r="A179" s="1">
        <v>10178</v>
      </c>
      <c r="B179" s="1" t="s">
        <v>419</v>
      </c>
      <c r="C179" s="1" t="s">
        <v>420</v>
      </c>
      <c r="D179" s="1" t="s">
        <v>42</v>
      </c>
      <c r="E179" s="1" t="s">
        <v>13</v>
      </c>
      <c r="F179" s="1">
        <v>6</v>
      </c>
      <c r="G179" s="7">
        <v>25000</v>
      </c>
      <c r="H179" s="3">
        <v>2</v>
      </c>
      <c r="I179" s="2">
        <f>(salesdata[[#This Row],[Discount]]/100)</f>
        <v>0.02</v>
      </c>
      <c r="J179" s="9">
        <v>147000</v>
      </c>
      <c r="K179" s="5" t="s">
        <v>39</v>
      </c>
      <c r="L179" s="5" t="s">
        <v>91</v>
      </c>
      <c r="M179" s="5" t="s">
        <v>81</v>
      </c>
      <c r="N179" s="5" t="s">
        <v>20</v>
      </c>
      <c r="O179" s="1" t="str">
        <f>TEXT(salesdata[[#This Row],[Order_Date]],"mmm")</f>
        <v>Nov</v>
      </c>
      <c r="P179" s="1">
        <f>YEAR(salesdata[[#This Row],[Order_Date]])</f>
        <v>2024</v>
      </c>
      <c r="Q179" s="1" t="str">
        <f t="shared" si="2"/>
        <v>Q4</v>
      </c>
    </row>
    <row r="180" spans="1:17" x14ac:dyDescent="0.3">
      <c r="A180" s="1">
        <v>10179</v>
      </c>
      <c r="B180" s="1" t="s">
        <v>369</v>
      </c>
      <c r="C180" s="1" t="s">
        <v>421</v>
      </c>
      <c r="D180" s="1" t="s">
        <v>119</v>
      </c>
      <c r="E180" s="1" t="s">
        <v>13</v>
      </c>
      <c r="F180" s="1">
        <v>8</v>
      </c>
      <c r="G180" s="7">
        <v>5000</v>
      </c>
      <c r="H180" s="3">
        <v>18</v>
      </c>
      <c r="I180" s="2">
        <f>(salesdata[[#This Row],[Discount]]/100)</f>
        <v>0.18</v>
      </c>
      <c r="J180" s="8">
        <v>32800</v>
      </c>
      <c r="K180" s="4" t="s">
        <v>18</v>
      </c>
      <c r="L180" s="4" t="s">
        <v>15</v>
      </c>
      <c r="M180" s="4" t="s">
        <v>33</v>
      </c>
      <c r="N180" s="4" t="s">
        <v>16</v>
      </c>
      <c r="O180" s="1" t="str">
        <f>TEXT(salesdata[[#This Row],[Order_Date]],"mmm")</f>
        <v>Nov</v>
      </c>
      <c r="P180" s="1">
        <f>YEAR(salesdata[[#This Row],[Order_Date]])</f>
        <v>2024</v>
      </c>
      <c r="Q180" s="1" t="str">
        <f t="shared" si="2"/>
        <v>Q4</v>
      </c>
    </row>
    <row r="181" spans="1:17" x14ac:dyDescent="0.3">
      <c r="A181" s="1">
        <v>10180</v>
      </c>
      <c r="B181" s="1" t="s">
        <v>422</v>
      </c>
      <c r="C181" s="1" t="s">
        <v>423</v>
      </c>
      <c r="D181" s="1" t="s">
        <v>32</v>
      </c>
      <c r="E181" s="1" t="s">
        <v>28</v>
      </c>
      <c r="F181" s="1">
        <v>8</v>
      </c>
      <c r="G181" s="7">
        <v>3000</v>
      </c>
      <c r="H181" s="3">
        <v>10</v>
      </c>
      <c r="I181" s="2">
        <f>(salesdata[[#This Row],[Discount]]/100)</f>
        <v>0.1</v>
      </c>
      <c r="J181" s="9">
        <v>21600</v>
      </c>
      <c r="K181" s="5" t="s">
        <v>37</v>
      </c>
      <c r="L181" s="5" t="s">
        <v>98</v>
      </c>
      <c r="M181" s="5" t="s">
        <v>40</v>
      </c>
      <c r="N181" s="5" t="s">
        <v>20</v>
      </c>
      <c r="O181" s="1" t="str">
        <f>TEXT(salesdata[[#This Row],[Order_Date]],"mmm")</f>
        <v>Sep</v>
      </c>
      <c r="P181" s="1">
        <f>YEAR(salesdata[[#This Row],[Order_Date]])</f>
        <v>2024</v>
      </c>
      <c r="Q181" s="1" t="str">
        <f t="shared" si="2"/>
        <v>Q3</v>
      </c>
    </row>
    <row r="182" spans="1:17" x14ac:dyDescent="0.3">
      <c r="A182" s="1">
        <v>10181</v>
      </c>
      <c r="B182" s="1" t="s">
        <v>424</v>
      </c>
      <c r="C182" s="1" t="s">
        <v>425</v>
      </c>
      <c r="D182" s="1" t="s">
        <v>36</v>
      </c>
      <c r="E182" s="1" t="s">
        <v>13</v>
      </c>
      <c r="F182" s="1">
        <v>5</v>
      </c>
      <c r="G182" s="7">
        <v>8000</v>
      </c>
      <c r="H182" s="3">
        <v>9</v>
      </c>
      <c r="I182" s="2">
        <f>(salesdata[[#This Row],[Discount]]/100)</f>
        <v>0.09</v>
      </c>
      <c r="J182" s="8">
        <v>36400</v>
      </c>
      <c r="K182" s="4" t="s">
        <v>14</v>
      </c>
      <c r="L182" s="4" t="s">
        <v>91</v>
      </c>
      <c r="M182" s="4" t="s">
        <v>101</v>
      </c>
      <c r="N182" s="4" t="s">
        <v>20</v>
      </c>
      <c r="O182" s="1" t="str">
        <f>TEXT(salesdata[[#This Row],[Order_Date]],"mmm")</f>
        <v>May</v>
      </c>
      <c r="P182" s="1">
        <f>YEAR(salesdata[[#This Row],[Order_Date]])</f>
        <v>2024</v>
      </c>
      <c r="Q182" s="1" t="str">
        <f t="shared" si="2"/>
        <v>Q2</v>
      </c>
    </row>
    <row r="183" spans="1:17" x14ac:dyDescent="0.3">
      <c r="A183" s="1">
        <v>10182</v>
      </c>
      <c r="B183" s="1" t="s">
        <v>426</v>
      </c>
      <c r="C183" s="1" t="s">
        <v>427</v>
      </c>
      <c r="D183" s="1" t="s">
        <v>17</v>
      </c>
      <c r="E183" s="1" t="s">
        <v>13</v>
      </c>
      <c r="F183" s="1">
        <v>2</v>
      </c>
      <c r="G183" s="7">
        <v>2000</v>
      </c>
      <c r="H183" s="3">
        <v>4</v>
      </c>
      <c r="I183" s="2">
        <f>(salesdata[[#This Row],[Discount]]/100)</f>
        <v>0.04</v>
      </c>
      <c r="J183" s="9">
        <v>3840</v>
      </c>
      <c r="K183" s="5" t="s">
        <v>14</v>
      </c>
      <c r="L183" s="5" t="s">
        <v>91</v>
      </c>
      <c r="M183" s="5" t="s">
        <v>40</v>
      </c>
      <c r="N183" s="5" t="s">
        <v>34</v>
      </c>
      <c r="O183" s="1" t="str">
        <f>TEXT(salesdata[[#This Row],[Order_Date]],"mmm")</f>
        <v>Oct</v>
      </c>
      <c r="P183" s="1">
        <f>YEAR(salesdata[[#This Row],[Order_Date]])</f>
        <v>2024</v>
      </c>
      <c r="Q183" s="1" t="str">
        <f t="shared" si="2"/>
        <v>Q4</v>
      </c>
    </row>
    <row r="184" spans="1:17" x14ac:dyDescent="0.3">
      <c r="A184" s="1">
        <v>10183</v>
      </c>
      <c r="B184" s="1" t="s">
        <v>428</v>
      </c>
      <c r="C184" s="1" t="s">
        <v>429</v>
      </c>
      <c r="D184" s="1" t="s">
        <v>119</v>
      </c>
      <c r="E184" s="1" t="s">
        <v>13</v>
      </c>
      <c r="F184" s="1">
        <v>3</v>
      </c>
      <c r="G184" s="7">
        <v>5000</v>
      </c>
      <c r="H184" s="3">
        <v>17</v>
      </c>
      <c r="I184" s="2">
        <f>(salesdata[[#This Row],[Discount]]/100)</f>
        <v>0.17</v>
      </c>
      <c r="J184" s="8">
        <v>12450</v>
      </c>
      <c r="K184" s="4" t="s">
        <v>23</v>
      </c>
      <c r="L184" s="4" t="s">
        <v>98</v>
      </c>
      <c r="M184" s="4" t="s">
        <v>25</v>
      </c>
      <c r="N184" s="4" t="s">
        <v>34</v>
      </c>
      <c r="O184" s="1" t="str">
        <f>TEXT(salesdata[[#This Row],[Order_Date]],"mmm")</f>
        <v>Sep</v>
      </c>
      <c r="P184" s="1">
        <f>YEAR(salesdata[[#This Row],[Order_Date]])</f>
        <v>2024</v>
      </c>
      <c r="Q184" s="1" t="str">
        <f t="shared" si="2"/>
        <v>Q3</v>
      </c>
    </row>
    <row r="185" spans="1:17" x14ac:dyDescent="0.3">
      <c r="A185" s="1">
        <v>10184</v>
      </c>
      <c r="B185" s="1" t="s">
        <v>385</v>
      </c>
      <c r="C185" s="1" t="s">
        <v>430</v>
      </c>
      <c r="D185" s="1" t="s">
        <v>27</v>
      </c>
      <c r="E185" s="1" t="s">
        <v>28</v>
      </c>
      <c r="F185" s="1">
        <v>6</v>
      </c>
      <c r="G185" s="7">
        <v>7000</v>
      </c>
      <c r="H185" s="3">
        <v>19</v>
      </c>
      <c r="I185" s="2">
        <f>(salesdata[[#This Row],[Discount]]/100)</f>
        <v>0.19</v>
      </c>
      <c r="J185" s="9">
        <v>34020</v>
      </c>
      <c r="K185" s="5" t="s">
        <v>39</v>
      </c>
      <c r="L185" s="5" t="s">
        <v>15</v>
      </c>
      <c r="M185" s="5" t="s">
        <v>101</v>
      </c>
      <c r="N185" s="5" t="s">
        <v>31</v>
      </c>
      <c r="O185" s="1" t="str">
        <f>TEXT(salesdata[[#This Row],[Order_Date]],"mmm")</f>
        <v>Sep</v>
      </c>
      <c r="P185" s="1">
        <f>YEAR(salesdata[[#This Row],[Order_Date]])</f>
        <v>2024</v>
      </c>
      <c r="Q185" s="1" t="str">
        <f t="shared" si="2"/>
        <v>Q3</v>
      </c>
    </row>
    <row r="186" spans="1:17" x14ac:dyDescent="0.3">
      <c r="A186" s="1">
        <v>10185</v>
      </c>
      <c r="B186" s="1" t="s">
        <v>431</v>
      </c>
      <c r="C186" s="1" t="s">
        <v>432</v>
      </c>
      <c r="D186" s="1" t="s">
        <v>36</v>
      </c>
      <c r="E186" s="1" t="s">
        <v>13</v>
      </c>
      <c r="F186" s="1">
        <v>4</v>
      </c>
      <c r="G186" s="7">
        <v>8000</v>
      </c>
      <c r="H186" s="3">
        <v>8</v>
      </c>
      <c r="I186" s="2">
        <f>(salesdata[[#This Row],[Discount]]/100)</f>
        <v>0.08</v>
      </c>
      <c r="J186" s="8">
        <v>29440</v>
      </c>
      <c r="K186" s="4" t="s">
        <v>30</v>
      </c>
      <c r="L186" s="4" t="s">
        <v>35</v>
      </c>
      <c r="M186" s="4" t="s">
        <v>40</v>
      </c>
      <c r="N186" s="4" t="s">
        <v>34</v>
      </c>
      <c r="O186" s="1" t="str">
        <f>TEXT(salesdata[[#This Row],[Order_Date]],"mmm")</f>
        <v>Oct</v>
      </c>
      <c r="P186" s="1">
        <f>YEAR(salesdata[[#This Row],[Order_Date]])</f>
        <v>2024</v>
      </c>
      <c r="Q186" s="1" t="str">
        <f t="shared" si="2"/>
        <v>Q4</v>
      </c>
    </row>
    <row r="187" spans="1:17" x14ac:dyDescent="0.3">
      <c r="A187" s="1">
        <v>10186</v>
      </c>
      <c r="B187" s="1" t="s">
        <v>433</v>
      </c>
      <c r="C187" s="1" t="s">
        <v>434</v>
      </c>
      <c r="D187" s="1" t="s">
        <v>12</v>
      </c>
      <c r="E187" s="1" t="s">
        <v>13</v>
      </c>
      <c r="F187" s="1">
        <v>1</v>
      </c>
      <c r="G187" s="7">
        <v>50000</v>
      </c>
      <c r="H187" s="3">
        <v>3</v>
      </c>
      <c r="I187" s="2">
        <f>(salesdata[[#This Row],[Discount]]/100)</f>
        <v>0.03</v>
      </c>
      <c r="J187" s="9">
        <v>48500</v>
      </c>
      <c r="K187" s="5" t="s">
        <v>18</v>
      </c>
      <c r="L187" s="5" t="s">
        <v>98</v>
      </c>
      <c r="M187" s="5" t="s">
        <v>25</v>
      </c>
      <c r="N187" s="5" t="s">
        <v>34</v>
      </c>
      <c r="O187" s="1" t="str">
        <f>TEXT(salesdata[[#This Row],[Order_Date]],"mmm")</f>
        <v>Oct</v>
      </c>
      <c r="P187" s="1">
        <f>YEAR(salesdata[[#This Row],[Order_Date]])</f>
        <v>2024</v>
      </c>
      <c r="Q187" s="1" t="str">
        <f t="shared" si="2"/>
        <v>Q4</v>
      </c>
    </row>
    <row r="188" spans="1:17" x14ac:dyDescent="0.3">
      <c r="A188" s="1">
        <v>10187</v>
      </c>
      <c r="B188" s="1" t="s">
        <v>307</v>
      </c>
      <c r="C188" s="1" t="s">
        <v>435</v>
      </c>
      <c r="D188" s="1" t="s">
        <v>36</v>
      </c>
      <c r="E188" s="1" t="s">
        <v>13</v>
      </c>
      <c r="F188" s="1">
        <v>2</v>
      </c>
      <c r="G188" s="7">
        <v>8000</v>
      </c>
      <c r="H188" s="3">
        <v>6</v>
      </c>
      <c r="I188" s="2">
        <f>(salesdata[[#This Row],[Discount]]/100)</f>
        <v>0.06</v>
      </c>
      <c r="J188" s="8">
        <v>15040</v>
      </c>
      <c r="K188" s="4" t="s">
        <v>30</v>
      </c>
      <c r="L188" s="4" t="s">
        <v>91</v>
      </c>
      <c r="M188" s="4" t="s">
        <v>101</v>
      </c>
      <c r="N188" s="4" t="s">
        <v>34</v>
      </c>
      <c r="O188" s="1" t="str">
        <f>TEXT(salesdata[[#This Row],[Order_Date]],"mmm")</f>
        <v>Dec</v>
      </c>
      <c r="P188" s="1">
        <f>YEAR(salesdata[[#This Row],[Order_Date]])</f>
        <v>2024</v>
      </c>
      <c r="Q188" s="1" t="str">
        <f t="shared" si="2"/>
        <v>Q4</v>
      </c>
    </row>
    <row r="189" spans="1:17" x14ac:dyDescent="0.3">
      <c r="A189" s="1">
        <v>10188</v>
      </c>
      <c r="B189" s="1" t="s">
        <v>436</v>
      </c>
      <c r="C189" s="1" t="s">
        <v>437</v>
      </c>
      <c r="D189" s="1" t="s">
        <v>22</v>
      </c>
      <c r="E189" s="1" t="s">
        <v>13</v>
      </c>
      <c r="F189" s="1">
        <v>3</v>
      </c>
      <c r="G189" s="7">
        <v>1200</v>
      </c>
      <c r="H189" s="3">
        <v>2</v>
      </c>
      <c r="I189" s="2">
        <f>(salesdata[[#This Row],[Discount]]/100)</f>
        <v>0.02</v>
      </c>
      <c r="J189" s="9">
        <v>3528</v>
      </c>
      <c r="K189" s="5" t="s">
        <v>85</v>
      </c>
      <c r="L189" s="5" t="s">
        <v>91</v>
      </c>
      <c r="M189" s="5" t="s">
        <v>160</v>
      </c>
      <c r="N189" s="5" t="s">
        <v>20</v>
      </c>
      <c r="O189" s="1" t="str">
        <f>TEXT(salesdata[[#This Row],[Order_Date]],"mmm")</f>
        <v>Jun</v>
      </c>
      <c r="P189" s="1">
        <f>YEAR(salesdata[[#This Row],[Order_Date]])</f>
        <v>2024</v>
      </c>
      <c r="Q189" s="1" t="str">
        <f t="shared" si="2"/>
        <v>Q2</v>
      </c>
    </row>
    <row r="190" spans="1:17" x14ac:dyDescent="0.3">
      <c r="A190" s="1">
        <v>10189</v>
      </c>
      <c r="B190" s="1" t="s">
        <v>422</v>
      </c>
      <c r="C190" s="1" t="s">
        <v>438</v>
      </c>
      <c r="D190" s="1" t="s">
        <v>84</v>
      </c>
      <c r="E190" s="1" t="s">
        <v>28</v>
      </c>
      <c r="F190" s="1">
        <v>10</v>
      </c>
      <c r="G190" s="7">
        <v>15000</v>
      </c>
      <c r="H190" s="3">
        <v>2</v>
      </c>
      <c r="I190" s="2">
        <f>(salesdata[[#This Row],[Discount]]/100)</f>
        <v>0.02</v>
      </c>
      <c r="J190" s="8">
        <v>147000</v>
      </c>
      <c r="K190" s="4" t="s">
        <v>39</v>
      </c>
      <c r="L190" s="4" t="s">
        <v>91</v>
      </c>
      <c r="M190" s="4" t="s">
        <v>25</v>
      </c>
      <c r="N190" s="4" t="s">
        <v>20</v>
      </c>
      <c r="O190" s="1" t="str">
        <f>TEXT(salesdata[[#This Row],[Order_Date]],"mmm")</f>
        <v>Sep</v>
      </c>
      <c r="P190" s="1">
        <f>YEAR(salesdata[[#This Row],[Order_Date]])</f>
        <v>2024</v>
      </c>
      <c r="Q190" s="1" t="str">
        <f t="shared" si="2"/>
        <v>Q3</v>
      </c>
    </row>
    <row r="191" spans="1:17" x14ac:dyDescent="0.3">
      <c r="A191" s="1">
        <v>10190</v>
      </c>
      <c r="B191" s="1" t="s">
        <v>439</v>
      </c>
      <c r="C191" s="1" t="s">
        <v>440</v>
      </c>
      <c r="D191" s="1" t="s">
        <v>42</v>
      </c>
      <c r="E191" s="1" t="s">
        <v>13</v>
      </c>
      <c r="F191" s="1">
        <v>2</v>
      </c>
      <c r="G191" s="7">
        <v>25000</v>
      </c>
      <c r="H191" s="3">
        <v>13</v>
      </c>
      <c r="I191" s="2">
        <f>(salesdata[[#This Row],[Discount]]/100)</f>
        <v>0.13</v>
      </c>
      <c r="J191" s="9">
        <v>43500</v>
      </c>
      <c r="K191" s="5" t="s">
        <v>18</v>
      </c>
      <c r="L191" s="5" t="s">
        <v>98</v>
      </c>
      <c r="M191" s="5" t="s">
        <v>19</v>
      </c>
      <c r="N191" s="5" t="s">
        <v>20</v>
      </c>
      <c r="O191" s="1" t="str">
        <f>TEXT(salesdata[[#This Row],[Order_Date]],"mmm")</f>
        <v>Oct</v>
      </c>
      <c r="P191" s="1">
        <f>YEAR(salesdata[[#This Row],[Order_Date]])</f>
        <v>2024</v>
      </c>
      <c r="Q191" s="1" t="str">
        <f t="shared" si="2"/>
        <v>Q4</v>
      </c>
    </row>
    <row r="192" spans="1:17" x14ac:dyDescent="0.3">
      <c r="A192" s="1">
        <v>10191</v>
      </c>
      <c r="B192" s="1" t="s">
        <v>441</v>
      </c>
      <c r="C192" s="1" t="s">
        <v>442</v>
      </c>
      <c r="D192" s="1" t="s">
        <v>36</v>
      </c>
      <c r="E192" s="1" t="s">
        <v>13</v>
      </c>
      <c r="F192" s="1">
        <v>4</v>
      </c>
      <c r="G192" s="7">
        <v>8000</v>
      </c>
      <c r="H192" s="3">
        <v>6</v>
      </c>
      <c r="I192" s="2">
        <f>(salesdata[[#This Row],[Discount]]/100)</f>
        <v>0.06</v>
      </c>
      <c r="J192" s="8">
        <v>30080</v>
      </c>
      <c r="K192" s="4" t="s">
        <v>23</v>
      </c>
      <c r="L192" s="4" t="s">
        <v>35</v>
      </c>
      <c r="M192" s="4" t="s">
        <v>33</v>
      </c>
      <c r="N192" s="4" t="s">
        <v>31</v>
      </c>
      <c r="O192" s="1" t="str">
        <f>TEXT(salesdata[[#This Row],[Order_Date]],"mmm")</f>
        <v>Dec</v>
      </c>
      <c r="P192" s="1">
        <f>YEAR(salesdata[[#This Row],[Order_Date]])</f>
        <v>2024</v>
      </c>
      <c r="Q192" s="1" t="str">
        <f t="shared" si="2"/>
        <v>Q4</v>
      </c>
    </row>
    <row r="193" spans="1:17" x14ac:dyDescent="0.3">
      <c r="A193" s="1">
        <v>10192</v>
      </c>
      <c r="B193" s="1" t="s">
        <v>443</v>
      </c>
      <c r="C193" s="1" t="s">
        <v>444</v>
      </c>
      <c r="D193" s="1" t="s">
        <v>12</v>
      </c>
      <c r="E193" s="1" t="s">
        <v>13</v>
      </c>
      <c r="F193" s="1">
        <v>1</v>
      </c>
      <c r="G193" s="7">
        <v>50000</v>
      </c>
      <c r="H193" s="3">
        <v>11</v>
      </c>
      <c r="I193" s="2">
        <f>(salesdata[[#This Row],[Discount]]/100)</f>
        <v>0.11</v>
      </c>
      <c r="J193" s="9">
        <v>44500</v>
      </c>
      <c r="K193" s="5" t="s">
        <v>30</v>
      </c>
      <c r="L193" s="5" t="s">
        <v>35</v>
      </c>
      <c r="M193" s="5" t="s">
        <v>33</v>
      </c>
      <c r="N193" s="5" t="s">
        <v>34</v>
      </c>
      <c r="O193" s="1" t="str">
        <f>TEXT(salesdata[[#This Row],[Order_Date]],"mmm")</f>
        <v>Jul</v>
      </c>
      <c r="P193" s="1">
        <f>YEAR(salesdata[[#This Row],[Order_Date]])</f>
        <v>2024</v>
      </c>
      <c r="Q193" s="1" t="str">
        <f t="shared" si="2"/>
        <v>Q3</v>
      </c>
    </row>
    <row r="194" spans="1:17" x14ac:dyDescent="0.3">
      <c r="A194" s="1">
        <v>10193</v>
      </c>
      <c r="B194" s="1" t="s">
        <v>445</v>
      </c>
      <c r="C194" s="1" t="s">
        <v>446</v>
      </c>
      <c r="D194" s="1" t="s">
        <v>36</v>
      </c>
      <c r="E194" s="1" t="s">
        <v>13</v>
      </c>
      <c r="F194" s="1">
        <v>1</v>
      </c>
      <c r="G194" s="7">
        <v>8000</v>
      </c>
      <c r="H194" s="3">
        <v>16</v>
      </c>
      <c r="I194" s="2">
        <f>(salesdata[[#This Row],[Discount]]/100)</f>
        <v>0.16</v>
      </c>
      <c r="J194" s="8">
        <v>6720</v>
      </c>
      <c r="K194" s="4" t="s">
        <v>18</v>
      </c>
      <c r="L194" s="4" t="s">
        <v>98</v>
      </c>
      <c r="M194" s="4" t="s">
        <v>19</v>
      </c>
      <c r="N194" s="4" t="s">
        <v>20</v>
      </c>
      <c r="O194" s="1" t="str">
        <f>TEXT(salesdata[[#This Row],[Order_Date]],"mmm")</f>
        <v>Jun</v>
      </c>
      <c r="P194" s="1">
        <f>YEAR(salesdata[[#This Row],[Order_Date]])</f>
        <v>2024</v>
      </c>
      <c r="Q194" s="1" t="str">
        <f t="shared" ref="Q194:Q257" si="3">"Q"&amp;ROUNDUP(MONTH(B194)/3,0)</f>
        <v>Q2</v>
      </c>
    </row>
    <row r="195" spans="1:17" x14ac:dyDescent="0.3">
      <c r="A195" s="1">
        <v>10194</v>
      </c>
      <c r="B195" s="1" t="s">
        <v>447</v>
      </c>
      <c r="C195" s="1" t="s">
        <v>448</v>
      </c>
      <c r="D195" s="1" t="s">
        <v>119</v>
      </c>
      <c r="E195" s="1" t="s">
        <v>13</v>
      </c>
      <c r="F195" s="1">
        <v>2</v>
      </c>
      <c r="G195" s="7">
        <v>5000</v>
      </c>
      <c r="H195" s="3">
        <v>0</v>
      </c>
      <c r="I195" s="2">
        <f>(salesdata[[#This Row],[Discount]]/100)</f>
        <v>0</v>
      </c>
      <c r="J195" s="9">
        <v>10000</v>
      </c>
      <c r="K195" s="5" t="s">
        <v>14</v>
      </c>
      <c r="L195" s="5" t="s">
        <v>15</v>
      </c>
      <c r="M195" s="5" t="s">
        <v>101</v>
      </c>
      <c r="N195" s="5" t="s">
        <v>16</v>
      </c>
      <c r="O195" s="1" t="str">
        <f>TEXT(salesdata[[#This Row],[Order_Date]],"mmm")</f>
        <v>Oct</v>
      </c>
      <c r="P195" s="1">
        <f>YEAR(salesdata[[#This Row],[Order_Date]])</f>
        <v>2024</v>
      </c>
      <c r="Q195" s="1" t="str">
        <f t="shared" si="3"/>
        <v>Q4</v>
      </c>
    </row>
    <row r="196" spans="1:17" x14ac:dyDescent="0.3">
      <c r="A196" s="1">
        <v>10195</v>
      </c>
      <c r="B196" s="1" t="s">
        <v>449</v>
      </c>
      <c r="C196" s="1" t="s">
        <v>450</v>
      </c>
      <c r="D196" s="1" t="s">
        <v>29</v>
      </c>
      <c r="E196" s="1" t="s">
        <v>13</v>
      </c>
      <c r="F196" s="1">
        <v>10</v>
      </c>
      <c r="G196" s="7">
        <v>500</v>
      </c>
      <c r="H196" s="3">
        <v>14</v>
      </c>
      <c r="I196" s="2">
        <f>(salesdata[[#This Row],[Discount]]/100)</f>
        <v>0.14000000000000001</v>
      </c>
      <c r="J196" s="8">
        <v>4300</v>
      </c>
      <c r="K196" s="4" t="s">
        <v>23</v>
      </c>
      <c r="L196" s="4" t="s">
        <v>98</v>
      </c>
      <c r="M196" s="4" t="s">
        <v>19</v>
      </c>
      <c r="N196" s="4" t="s">
        <v>20</v>
      </c>
      <c r="O196" s="1" t="str">
        <f>TEXT(salesdata[[#This Row],[Order_Date]],"mmm")</f>
        <v>Apr</v>
      </c>
      <c r="P196" s="1">
        <f>YEAR(salesdata[[#This Row],[Order_Date]])</f>
        <v>2024</v>
      </c>
      <c r="Q196" s="1" t="str">
        <f t="shared" si="3"/>
        <v>Q2</v>
      </c>
    </row>
    <row r="197" spans="1:17" x14ac:dyDescent="0.3">
      <c r="A197" s="1">
        <v>10196</v>
      </c>
      <c r="B197" s="1" t="s">
        <v>428</v>
      </c>
      <c r="C197" s="1" t="s">
        <v>451</v>
      </c>
      <c r="D197" s="1" t="s">
        <v>12</v>
      </c>
      <c r="E197" s="1" t="s">
        <v>13</v>
      </c>
      <c r="F197" s="1">
        <v>2</v>
      </c>
      <c r="G197" s="7">
        <v>50000</v>
      </c>
      <c r="H197" s="3">
        <v>14</v>
      </c>
      <c r="I197" s="2">
        <f>(salesdata[[#This Row],[Discount]]/100)</f>
        <v>0.14000000000000001</v>
      </c>
      <c r="J197" s="9">
        <v>86000</v>
      </c>
      <c r="K197" s="5" t="s">
        <v>39</v>
      </c>
      <c r="L197" s="5" t="s">
        <v>15</v>
      </c>
      <c r="M197" s="5" t="s">
        <v>101</v>
      </c>
      <c r="N197" s="5" t="s">
        <v>20</v>
      </c>
      <c r="O197" s="1" t="str">
        <f>TEXT(salesdata[[#This Row],[Order_Date]],"mmm")</f>
        <v>Sep</v>
      </c>
      <c r="P197" s="1">
        <f>YEAR(salesdata[[#This Row],[Order_Date]])</f>
        <v>2024</v>
      </c>
      <c r="Q197" s="1" t="str">
        <f t="shared" si="3"/>
        <v>Q3</v>
      </c>
    </row>
    <row r="198" spans="1:17" x14ac:dyDescent="0.3">
      <c r="A198" s="1">
        <v>10197</v>
      </c>
      <c r="B198" s="1" t="s">
        <v>452</v>
      </c>
      <c r="C198" s="1" t="s">
        <v>453</v>
      </c>
      <c r="D198" s="1" t="s">
        <v>36</v>
      </c>
      <c r="E198" s="1" t="s">
        <v>13</v>
      </c>
      <c r="F198" s="1">
        <v>6</v>
      </c>
      <c r="G198" s="7">
        <v>8000</v>
      </c>
      <c r="H198" s="3">
        <v>20</v>
      </c>
      <c r="I198" s="2">
        <f>(salesdata[[#This Row],[Discount]]/100)</f>
        <v>0.2</v>
      </c>
      <c r="J198" s="8">
        <v>38400</v>
      </c>
      <c r="K198" s="4" t="s">
        <v>39</v>
      </c>
      <c r="L198" s="4" t="s">
        <v>35</v>
      </c>
      <c r="M198" s="4" t="s">
        <v>33</v>
      </c>
      <c r="N198" s="4" t="s">
        <v>20</v>
      </c>
      <c r="O198" s="1" t="str">
        <f>TEXT(salesdata[[#This Row],[Order_Date]],"mmm")</f>
        <v>Feb</v>
      </c>
      <c r="P198" s="1">
        <f>YEAR(salesdata[[#This Row],[Order_Date]])</f>
        <v>2024</v>
      </c>
      <c r="Q198" s="1" t="str">
        <f t="shared" si="3"/>
        <v>Q1</v>
      </c>
    </row>
    <row r="199" spans="1:17" x14ac:dyDescent="0.3">
      <c r="A199" s="1">
        <v>10198</v>
      </c>
      <c r="B199" s="1" t="s">
        <v>454</v>
      </c>
      <c r="C199" s="1" t="s">
        <v>455</v>
      </c>
      <c r="D199" s="1" t="s">
        <v>36</v>
      </c>
      <c r="E199" s="1" t="s">
        <v>13</v>
      </c>
      <c r="F199" s="1">
        <v>9</v>
      </c>
      <c r="G199" s="7">
        <v>8000</v>
      </c>
      <c r="H199" s="3">
        <v>1</v>
      </c>
      <c r="I199" s="2">
        <f>(salesdata[[#This Row],[Discount]]/100)</f>
        <v>0.01</v>
      </c>
      <c r="J199" s="9">
        <v>71280</v>
      </c>
      <c r="K199" s="5" t="s">
        <v>30</v>
      </c>
      <c r="L199" s="5" t="s">
        <v>15</v>
      </c>
      <c r="M199" s="5" t="s">
        <v>40</v>
      </c>
      <c r="N199" s="5" t="s">
        <v>20</v>
      </c>
      <c r="O199" s="1" t="str">
        <f>TEXT(salesdata[[#This Row],[Order_Date]],"mmm")</f>
        <v>Apr</v>
      </c>
      <c r="P199" s="1">
        <f>YEAR(salesdata[[#This Row],[Order_Date]])</f>
        <v>2024</v>
      </c>
      <c r="Q199" s="1" t="str">
        <f t="shared" si="3"/>
        <v>Q2</v>
      </c>
    </row>
    <row r="200" spans="1:17" x14ac:dyDescent="0.3">
      <c r="A200" s="1">
        <v>10199</v>
      </c>
      <c r="B200" s="1" t="s">
        <v>456</v>
      </c>
      <c r="C200" s="1" t="s">
        <v>457</v>
      </c>
      <c r="D200" s="1" t="s">
        <v>17</v>
      </c>
      <c r="E200" s="1" t="s">
        <v>13</v>
      </c>
      <c r="F200" s="1">
        <v>3</v>
      </c>
      <c r="G200" s="7">
        <v>2000</v>
      </c>
      <c r="H200" s="3">
        <v>7</v>
      </c>
      <c r="I200" s="2">
        <f>(salesdata[[#This Row],[Discount]]/100)</f>
        <v>7.0000000000000007E-2</v>
      </c>
      <c r="J200" s="8">
        <v>5580</v>
      </c>
      <c r="K200" s="4" t="s">
        <v>85</v>
      </c>
      <c r="L200" s="4" t="s">
        <v>35</v>
      </c>
      <c r="M200" s="4" t="s">
        <v>160</v>
      </c>
      <c r="N200" s="4" t="s">
        <v>31</v>
      </c>
      <c r="O200" s="1" t="str">
        <f>TEXT(salesdata[[#This Row],[Order_Date]],"mmm")</f>
        <v>Sep</v>
      </c>
      <c r="P200" s="1">
        <f>YEAR(salesdata[[#This Row],[Order_Date]])</f>
        <v>2024</v>
      </c>
      <c r="Q200" s="1" t="str">
        <f t="shared" si="3"/>
        <v>Q3</v>
      </c>
    </row>
    <row r="201" spans="1:17" x14ac:dyDescent="0.3">
      <c r="A201" s="1">
        <v>10200</v>
      </c>
      <c r="B201" s="1" t="s">
        <v>458</v>
      </c>
      <c r="C201" s="1" t="s">
        <v>459</v>
      </c>
      <c r="D201" s="1" t="s">
        <v>27</v>
      </c>
      <c r="E201" s="1" t="s">
        <v>28</v>
      </c>
      <c r="F201" s="1">
        <v>3</v>
      </c>
      <c r="G201" s="7">
        <v>7000</v>
      </c>
      <c r="H201" s="3">
        <v>17</v>
      </c>
      <c r="I201" s="2">
        <f>(salesdata[[#This Row],[Discount]]/100)</f>
        <v>0.17</v>
      </c>
      <c r="J201" s="9">
        <v>17430</v>
      </c>
      <c r="K201" s="5" t="s">
        <v>88</v>
      </c>
      <c r="L201" s="5" t="s">
        <v>24</v>
      </c>
      <c r="M201" s="5" t="s">
        <v>160</v>
      </c>
      <c r="N201" s="5" t="s">
        <v>31</v>
      </c>
      <c r="O201" s="1" t="str">
        <f>TEXT(salesdata[[#This Row],[Order_Date]],"mmm")</f>
        <v>Nov</v>
      </c>
      <c r="P201" s="1">
        <f>YEAR(salesdata[[#This Row],[Order_Date]])</f>
        <v>2024</v>
      </c>
      <c r="Q201" s="1" t="str">
        <f t="shared" si="3"/>
        <v>Q4</v>
      </c>
    </row>
    <row r="202" spans="1:17" x14ac:dyDescent="0.3">
      <c r="A202" s="1">
        <v>10201</v>
      </c>
      <c r="B202" s="1" t="s">
        <v>460</v>
      </c>
      <c r="C202" s="1" t="s">
        <v>432</v>
      </c>
      <c r="D202" s="1" t="s">
        <v>17</v>
      </c>
      <c r="E202" s="1" t="s">
        <v>13</v>
      </c>
      <c r="F202" s="1">
        <v>8</v>
      </c>
      <c r="G202" s="7">
        <v>2000</v>
      </c>
      <c r="H202" s="3">
        <v>2</v>
      </c>
      <c r="I202" s="2">
        <f>(salesdata[[#This Row],[Discount]]/100)</f>
        <v>0.02</v>
      </c>
      <c r="J202" s="8">
        <v>15680</v>
      </c>
      <c r="K202" s="4" t="s">
        <v>37</v>
      </c>
      <c r="L202" s="4" t="s">
        <v>98</v>
      </c>
      <c r="M202" s="4" t="s">
        <v>25</v>
      </c>
      <c r="N202" s="4" t="s">
        <v>31</v>
      </c>
      <c r="O202" s="1" t="str">
        <f>TEXT(salesdata[[#This Row],[Order_Date]],"mmm")</f>
        <v>Jun</v>
      </c>
      <c r="P202" s="1">
        <f>YEAR(salesdata[[#This Row],[Order_Date]])</f>
        <v>2025</v>
      </c>
      <c r="Q202" s="1" t="str">
        <f t="shared" si="3"/>
        <v>Q2</v>
      </c>
    </row>
    <row r="203" spans="1:17" x14ac:dyDescent="0.3">
      <c r="A203" s="1">
        <v>10202</v>
      </c>
      <c r="B203" s="1" t="s">
        <v>461</v>
      </c>
      <c r="C203" s="1" t="s">
        <v>462</v>
      </c>
      <c r="D203" s="1" t="s">
        <v>32</v>
      </c>
      <c r="E203" s="1" t="s">
        <v>28</v>
      </c>
      <c r="F203" s="1">
        <v>4</v>
      </c>
      <c r="G203" s="7">
        <v>3000</v>
      </c>
      <c r="H203" s="3">
        <v>18</v>
      </c>
      <c r="I203" s="2">
        <f>(salesdata[[#This Row],[Discount]]/100)</f>
        <v>0.18</v>
      </c>
      <c r="J203" s="9">
        <v>9840</v>
      </c>
      <c r="K203" s="5" t="s">
        <v>23</v>
      </c>
      <c r="L203" s="5" t="s">
        <v>98</v>
      </c>
      <c r="M203" s="5" t="s">
        <v>33</v>
      </c>
      <c r="N203" s="5" t="s">
        <v>20</v>
      </c>
      <c r="O203" s="1" t="str">
        <f>TEXT(salesdata[[#This Row],[Order_Date]],"mmm")</f>
        <v>Mar</v>
      </c>
      <c r="P203" s="1">
        <f>YEAR(salesdata[[#This Row],[Order_Date]])</f>
        <v>2025</v>
      </c>
      <c r="Q203" s="1" t="str">
        <f t="shared" si="3"/>
        <v>Q1</v>
      </c>
    </row>
    <row r="204" spans="1:17" x14ac:dyDescent="0.3">
      <c r="A204" s="1">
        <v>10203</v>
      </c>
      <c r="B204" s="1" t="s">
        <v>58</v>
      </c>
      <c r="C204" s="1" t="s">
        <v>463</v>
      </c>
      <c r="D204" s="1" t="s">
        <v>42</v>
      </c>
      <c r="E204" s="1" t="s">
        <v>13</v>
      </c>
      <c r="F204" s="1">
        <v>5</v>
      </c>
      <c r="G204" s="7">
        <v>25000</v>
      </c>
      <c r="H204" s="3">
        <v>16</v>
      </c>
      <c r="I204" s="2">
        <f>(salesdata[[#This Row],[Discount]]/100)</f>
        <v>0.16</v>
      </c>
      <c r="J204" s="8">
        <v>105000</v>
      </c>
      <c r="K204" s="4" t="s">
        <v>37</v>
      </c>
      <c r="L204" s="4" t="s">
        <v>91</v>
      </c>
      <c r="M204" s="4" t="s">
        <v>101</v>
      </c>
      <c r="N204" s="4" t="s">
        <v>34</v>
      </c>
      <c r="O204" s="1" t="str">
        <f>TEXT(salesdata[[#This Row],[Order_Date]],"mmm")</f>
        <v>Nov</v>
      </c>
      <c r="P204" s="1">
        <f>YEAR(salesdata[[#This Row],[Order_Date]])</f>
        <v>2025</v>
      </c>
      <c r="Q204" s="1" t="str">
        <f t="shared" si="3"/>
        <v>Q4</v>
      </c>
    </row>
    <row r="205" spans="1:17" x14ac:dyDescent="0.3">
      <c r="A205" s="1">
        <v>10204</v>
      </c>
      <c r="B205" s="1" t="s">
        <v>464</v>
      </c>
      <c r="C205" s="1" t="s">
        <v>465</v>
      </c>
      <c r="D205" s="1" t="s">
        <v>36</v>
      </c>
      <c r="E205" s="1" t="s">
        <v>13</v>
      </c>
      <c r="F205" s="1">
        <v>7</v>
      </c>
      <c r="G205" s="7">
        <v>8000</v>
      </c>
      <c r="H205" s="3">
        <v>20</v>
      </c>
      <c r="I205" s="2">
        <f>(salesdata[[#This Row],[Discount]]/100)</f>
        <v>0.2</v>
      </c>
      <c r="J205" s="9">
        <v>44800</v>
      </c>
      <c r="K205" s="5" t="s">
        <v>23</v>
      </c>
      <c r="L205" s="5" t="s">
        <v>15</v>
      </c>
      <c r="M205" s="5" t="s">
        <v>25</v>
      </c>
      <c r="N205" s="5" t="s">
        <v>31</v>
      </c>
      <c r="O205" s="1" t="str">
        <f>TEXT(salesdata[[#This Row],[Order_Date]],"mmm")</f>
        <v>Nov</v>
      </c>
      <c r="P205" s="1">
        <f>YEAR(salesdata[[#This Row],[Order_Date]])</f>
        <v>2025</v>
      </c>
      <c r="Q205" s="1" t="str">
        <f t="shared" si="3"/>
        <v>Q4</v>
      </c>
    </row>
    <row r="206" spans="1:17" x14ac:dyDescent="0.3">
      <c r="A206" s="1">
        <v>10205</v>
      </c>
      <c r="B206" s="1" t="s">
        <v>64</v>
      </c>
      <c r="C206" s="1" t="s">
        <v>466</v>
      </c>
      <c r="D206" s="1" t="s">
        <v>119</v>
      </c>
      <c r="E206" s="1" t="s">
        <v>13</v>
      </c>
      <c r="F206" s="1">
        <v>3</v>
      </c>
      <c r="G206" s="7">
        <v>5000</v>
      </c>
      <c r="H206" s="3">
        <v>9</v>
      </c>
      <c r="I206" s="2">
        <f>(salesdata[[#This Row],[Discount]]/100)</f>
        <v>0.09</v>
      </c>
      <c r="J206" s="8">
        <v>13650</v>
      </c>
      <c r="K206" s="4" t="s">
        <v>14</v>
      </c>
      <c r="L206" s="4" t="s">
        <v>35</v>
      </c>
      <c r="M206" s="4" t="s">
        <v>44</v>
      </c>
      <c r="N206" s="4" t="s">
        <v>20</v>
      </c>
      <c r="O206" s="1" t="str">
        <f>TEXT(salesdata[[#This Row],[Order_Date]],"mmm")</f>
        <v>Jan</v>
      </c>
      <c r="P206" s="1">
        <f>YEAR(salesdata[[#This Row],[Order_Date]])</f>
        <v>2025</v>
      </c>
      <c r="Q206" s="1" t="str">
        <f t="shared" si="3"/>
        <v>Q1</v>
      </c>
    </row>
    <row r="207" spans="1:17" x14ac:dyDescent="0.3">
      <c r="A207" s="1">
        <v>10206</v>
      </c>
      <c r="B207" s="1" t="s">
        <v>467</v>
      </c>
      <c r="C207" s="1" t="s">
        <v>468</v>
      </c>
      <c r="D207" s="1" t="s">
        <v>119</v>
      </c>
      <c r="E207" s="1" t="s">
        <v>13</v>
      </c>
      <c r="F207" s="1">
        <v>1</v>
      </c>
      <c r="G207" s="7">
        <v>5000</v>
      </c>
      <c r="H207" s="3">
        <v>10</v>
      </c>
      <c r="I207" s="2">
        <f>(salesdata[[#This Row],[Discount]]/100)</f>
        <v>0.1</v>
      </c>
      <c r="J207" s="9">
        <v>4500</v>
      </c>
      <c r="K207" s="5" t="s">
        <v>85</v>
      </c>
      <c r="L207" s="5" t="s">
        <v>91</v>
      </c>
      <c r="M207" s="5" t="s">
        <v>81</v>
      </c>
      <c r="N207" s="5" t="s">
        <v>31</v>
      </c>
      <c r="O207" s="1" t="str">
        <f>TEXT(salesdata[[#This Row],[Order_Date]],"mmm")</f>
        <v>Jun</v>
      </c>
      <c r="P207" s="1">
        <f>YEAR(salesdata[[#This Row],[Order_Date]])</f>
        <v>2025</v>
      </c>
      <c r="Q207" s="1" t="str">
        <f t="shared" si="3"/>
        <v>Q2</v>
      </c>
    </row>
    <row r="208" spans="1:17" x14ac:dyDescent="0.3">
      <c r="A208" s="1">
        <v>10207</v>
      </c>
      <c r="B208" s="1" t="s">
        <v>52</v>
      </c>
      <c r="C208" s="1" t="s">
        <v>469</v>
      </c>
      <c r="D208" s="1" t="s">
        <v>22</v>
      </c>
      <c r="E208" s="1" t="s">
        <v>13</v>
      </c>
      <c r="F208" s="1">
        <v>3</v>
      </c>
      <c r="G208" s="7">
        <v>1200</v>
      </c>
      <c r="H208" s="3">
        <v>19</v>
      </c>
      <c r="I208" s="2">
        <f>(salesdata[[#This Row],[Discount]]/100)</f>
        <v>0.19</v>
      </c>
      <c r="J208" s="8">
        <v>2916</v>
      </c>
      <c r="K208" s="4" t="s">
        <v>37</v>
      </c>
      <c r="L208" s="4" t="s">
        <v>24</v>
      </c>
      <c r="M208" s="4" t="s">
        <v>40</v>
      </c>
      <c r="N208" s="4" t="s">
        <v>34</v>
      </c>
      <c r="O208" s="1" t="str">
        <f>TEXT(salesdata[[#This Row],[Order_Date]],"mmm")</f>
        <v>May</v>
      </c>
      <c r="P208" s="1">
        <f>YEAR(salesdata[[#This Row],[Order_Date]])</f>
        <v>2025</v>
      </c>
      <c r="Q208" s="1" t="str">
        <f t="shared" si="3"/>
        <v>Q2</v>
      </c>
    </row>
    <row r="209" spans="1:17" x14ac:dyDescent="0.3">
      <c r="A209" s="1">
        <v>10208</v>
      </c>
      <c r="B209" s="1" t="s">
        <v>470</v>
      </c>
      <c r="C209" s="1" t="s">
        <v>471</v>
      </c>
      <c r="D209" s="1" t="s">
        <v>42</v>
      </c>
      <c r="E209" s="1" t="s">
        <v>13</v>
      </c>
      <c r="F209" s="1">
        <v>5</v>
      </c>
      <c r="G209" s="7">
        <v>25000</v>
      </c>
      <c r="H209" s="3">
        <v>18</v>
      </c>
      <c r="I209" s="2">
        <f>(salesdata[[#This Row],[Discount]]/100)</f>
        <v>0.18</v>
      </c>
      <c r="J209" s="9">
        <v>102500</v>
      </c>
      <c r="K209" s="5" t="s">
        <v>39</v>
      </c>
      <c r="L209" s="5" t="s">
        <v>15</v>
      </c>
      <c r="M209" s="5" t="s">
        <v>81</v>
      </c>
      <c r="N209" s="5" t="s">
        <v>31</v>
      </c>
      <c r="O209" s="1" t="str">
        <f>TEXT(salesdata[[#This Row],[Order_Date]],"mmm")</f>
        <v>Jul</v>
      </c>
      <c r="P209" s="1">
        <f>YEAR(salesdata[[#This Row],[Order_Date]])</f>
        <v>2025</v>
      </c>
      <c r="Q209" s="1" t="str">
        <f t="shared" si="3"/>
        <v>Q3</v>
      </c>
    </row>
    <row r="210" spans="1:17" x14ac:dyDescent="0.3">
      <c r="A210" s="1">
        <v>10209</v>
      </c>
      <c r="B210" s="1" t="s">
        <v>472</v>
      </c>
      <c r="C210" s="1" t="s">
        <v>473</v>
      </c>
      <c r="D210" s="1" t="s">
        <v>12</v>
      </c>
      <c r="E210" s="1" t="s">
        <v>13</v>
      </c>
      <c r="F210" s="1">
        <v>2</v>
      </c>
      <c r="G210" s="7">
        <v>50000</v>
      </c>
      <c r="H210" s="3">
        <v>16</v>
      </c>
      <c r="I210" s="2">
        <f>(salesdata[[#This Row],[Discount]]/100)</f>
        <v>0.16</v>
      </c>
      <c r="J210" s="8">
        <v>84000</v>
      </c>
      <c r="K210" s="4" t="s">
        <v>39</v>
      </c>
      <c r="L210" s="4" t="s">
        <v>15</v>
      </c>
      <c r="M210" s="4" t="s">
        <v>25</v>
      </c>
      <c r="N210" s="4" t="s">
        <v>34</v>
      </c>
      <c r="O210" s="1" t="str">
        <f>TEXT(salesdata[[#This Row],[Order_Date]],"mmm")</f>
        <v>Oct</v>
      </c>
      <c r="P210" s="1">
        <f>YEAR(salesdata[[#This Row],[Order_Date]])</f>
        <v>2025</v>
      </c>
      <c r="Q210" s="1" t="str">
        <f t="shared" si="3"/>
        <v>Q4</v>
      </c>
    </row>
    <row r="211" spans="1:17" x14ac:dyDescent="0.3">
      <c r="A211" s="1">
        <v>10210</v>
      </c>
      <c r="B211" s="1" t="s">
        <v>50</v>
      </c>
      <c r="C211" s="1" t="s">
        <v>474</v>
      </c>
      <c r="D211" s="1" t="s">
        <v>29</v>
      </c>
      <c r="E211" s="1" t="s">
        <v>13</v>
      </c>
      <c r="F211" s="1">
        <v>9</v>
      </c>
      <c r="G211" s="7">
        <v>500</v>
      </c>
      <c r="H211" s="3">
        <v>14</v>
      </c>
      <c r="I211" s="2">
        <f>(salesdata[[#This Row],[Discount]]/100)</f>
        <v>0.14000000000000001</v>
      </c>
      <c r="J211" s="9">
        <v>3870</v>
      </c>
      <c r="K211" s="5" t="s">
        <v>88</v>
      </c>
      <c r="L211" s="5" t="s">
        <v>24</v>
      </c>
      <c r="M211" s="5" t="s">
        <v>101</v>
      </c>
      <c r="N211" s="5" t="s">
        <v>16</v>
      </c>
      <c r="O211" s="1" t="str">
        <f>TEXT(salesdata[[#This Row],[Order_Date]],"mmm")</f>
        <v>Dec</v>
      </c>
      <c r="P211" s="1">
        <f>YEAR(salesdata[[#This Row],[Order_Date]])</f>
        <v>2025</v>
      </c>
      <c r="Q211" s="1" t="str">
        <f t="shared" si="3"/>
        <v>Q4</v>
      </c>
    </row>
    <row r="212" spans="1:17" x14ac:dyDescent="0.3">
      <c r="A212" s="1">
        <v>10211</v>
      </c>
      <c r="B212" s="1" t="s">
        <v>475</v>
      </c>
      <c r="C212" s="1" t="s">
        <v>476</v>
      </c>
      <c r="D212" s="1" t="s">
        <v>84</v>
      </c>
      <c r="E212" s="1" t="s">
        <v>28</v>
      </c>
      <c r="F212" s="1">
        <v>9</v>
      </c>
      <c r="G212" s="7">
        <v>15000</v>
      </c>
      <c r="H212" s="3">
        <v>15</v>
      </c>
      <c r="I212" s="2">
        <f>(salesdata[[#This Row],[Discount]]/100)</f>
        <v>0.15</v>
      </c>
      <c r="J212" s="8">
        <v>114750</v>
      </c>
      <c r="K212" s="4" t="s">
        <v>88</v>
      </c>
      <c r="L212" s="4" t="s">
        <v>91</v>
      </c>
      <c r="M212" s="4" t="s">
        <v>81</v>
      </c>
      <c r="N212" s="4" t="s">
        <v>16</v>
      </c>
      <c r="O212" s="1" t="str">
        <f>TEXT(salesdata[[#This Row],[Order_Date]],"mmm")</f>
        <v>Feb</v>
      </c>
      <c r="P212" s="1">
        <f>YEAR(salesdata[[#This Row],[Order_Date]])</f>
        <v>2025</v>
      </c>
      <c r="Q212" s="1" t="str">
        <f t="shared" si="3"/>
        <v>Q1</v>
      </c>
    </row>
    <row r="213" spans="1:17" x14ac:dyDescent="0.3">
      <c r="A213" s="1">
        <v>10212</v>
      </c>
      <c r="B213" s="1" t="s">
        <v>477</v>
      </c>
      <c r="C213" s="1" t="s">
        <v>478</v>
      </c>
      <c r="D213" s="1" t="s">
        <v>36</v>
      </c>
      <c r="E213" s="1" t="s">
        <v>13</v>
      </c>
      <c r="F213" s="1">
        <v>2</v>
      </c>
      <c r="G213" s="7">
        <v>8000</v>
      </c>
      <c r="H213" s="3">
        <v>4</v>
      </c>
      <c r="I213" s="2">
        <f>(salesdata[[#This Row],[Discount]]/100)</f>
        <v>0.04</v>
      </c>
      <c r="J213" s="9">
        <v>15360</v>
      </c>
      <c r="K213" s="5" t="s">
        <v>18</v>
      </c>
      <c r="L213" s="5" t="s">
        <v>15</v>
      </c>
      <c r="M213" s="5" t="s">
        <v>19</v>
      </c>
      <c r="N213" s="5" t="s">
        <v>34</v>
      </c>
      <c r="O213" s="1" t="str">
        <f>TEXT(salesdata[[#This Row],[Order_Date]],"mmm")</f>
        <v>Feb</v>
      </c>
      <c r="P213" s="1">
        <f>YEAR(salesdata[[#This Row],[Order_Date]])</f>
        <v>2025</v>
      </c>
      <c r="Q213" s="1" t="str">
        <f t="shared" si="3"/>
        <v>Q1</v>
      </c>
    </row>
    <row r="214" spans="1:17" x14ac:dyDescent="0.3">
      <c r="A214" s="1">
        <v>10213</v>
      </c>
      <c r="B214" s="1" t="s">
        <v>67</v>
      </c>
      <c r="C214" s="1" t="s">
        <v>479</v>
      </c>
      <c r="D214" s="1" t="s">
        <v>84</v>
      </c>
      <c r="E214" s="1" t="s">
        <v>28</v>
      </c>
      <c r="F214" s="1">
        <v>1</v>
      </c>
      <c r="G214" s="7">
        <v>15000</v>
      </c>
      <c r="H214" s="3">
        <v>5</v>
      </c>
      <c r="I214" s="2">
        <f>(salesdata[[#This Row],[Discount]]/100)</f>
        <v>0.05</v>
      </c>
      <c r="J214" s="8">
        <v>14250</v>
      </c>
      <c r="K214" s="4" t="s">
        <v>85</v>
      </c>
      <c r="L214" s="4" t="s">
        <v>91</v>
      </c>
      <c r="M214" s="4" t="s">
        <v>33</v>
      </c>
      <c r="N214" s="4" t="s">
        <v>20</v>
      </c>
      <c r="O214" s="1" t="str">
        <f>TEXT(salesdata[[#This Row],[Order_Date]],"mmm")</f>
        <v>Dec</v>
      </c>
      <c r="P214" s="1">
        <f>YEAR(salesdata[[#This Row],[Order_Date]])</f>
        <v>2025</v>
      </c>
      <c r="Q214" s="1" t="str">
        <f t="shared" si="3"/>
        <v>Q4</v>
      </c>
    </row>
    <row r="215" spans="1:17" x14ac:dyDescent="0.3">
      <c r="A215" s="1">
        <v>10214</v>
      </c>
      <c r="B215" s="1" t="s">
        <v>480</v>
      </c>
      <c r="C215" s="1" t="s">
        <v>481</v>
      </c>
      <c r="D215" s="1" t="s">
        <v>42</v>
      </c>
      <c r="E215" s="1" t="s">
        <v>13</v>
      </c>
      <c r="F215" s="1">
        <v>1</v>
      </c>
      <c r="G215" s="7">
        <v>25000</v>
      </c>
      <c r="H215" s="3">
        <v>6</v>
      </c>
      <c r="I215" s="2">
        <f>(salesdata[[#This Row],[Discount]]/100)</f>
        <v>0.06</v>
      </c>
      <c r="J215" s="9">
        <v>23500</v>
      </c>
      <c r="K215" s="5" t="s">
        <v>85</v>
      </c>
      <c r="L215" s="5" t="s">
        <v>98</v>
      </c>
      <c r="M215" s="5" t="s">
        <v>44</v>
      </c>
      <c r="N215" s="5" t="s">
        <v>20</v>
      </c>
      <c r="O215" s="1" t="str">
        <f>TEXT(salesdata[[#This Row],[Order_Date]],"mmm")</f>
        <v>Mar</v>
      </c>
      <c r="P215" s="1">
        <f>YEAR(salesdata[[#This Row],[Order_Date]])</f>
        <v>2025</v>
      </c>
      <c r="Q215" s="1" t="str">
        <f t="shared" si="3"/>
        <v>Q1</v>
      </c>
    </row>
    <row r="216" spans="1:17" x14ac:dyDescent="0.3">
      <c r="A216" s="1">
        <v>10215</v>
      </c>
      <c r="B216" s="1" t="s">
        <v>482</v>
      </c>
      <c r="C216" s="1" t="s">
        <v>483</v>
      </c>
      <c r="D216" s="1" t="s">
        <v>36</v>
      </c>
      <c r="E216" s="1" t="s">
        <v>13</v>
      </c>
      <c r="F216" s="1">
        <v>8</v>
      </c>
      <c r="G216" s="7">
        <v>8000</v>
      </c>
      <c r="H216" s="3">
        <v>1</v>
      </c>
      <c r="I216" s="2">
        <f>(salesdata[[#This Row],[Discount]]/100)</f>
        <v>0.01</v>
      </c>
      <c r="J216" s="8">
        <v>63360</v>
      </c>
      <c r="K216" s="4" t="s">
        <v>18</v>
      </c>
      <c r="L216" s="4" t="s">
        <v>98</v>
      </c>
      <c r="M216" s="4" t="s">
        <v>33</v>
      </c>
      <c r="N216" s="4" t="s">
        <v>16</v>
      </c>
      <c r="O216" s="1" t="str">
        <f>TEXT(salesdata[[#This Row],[Order_Date]],"mmm")</f>
        <v>Dec</v>
      </c>
      <c r="P216" s="1">
        <f>YEAR(salesdata[[#This Row],[Order_Date]])</f>
        <v>2025</v>
      </c>
      <c r="Q216" s="1" t="str">
        <f t="shared" si="3"/>
        <v>Q4</v>
      </c>
    </row>
    <row r="217" spans="1:17" x14ac:dyDescent="0.3">
      <c r="A217" s="1">
        <v>10216</v>
      </c>
      <c r="B217" s="1" t="s">
        <v>484</v>
      </c>
      <c r="C217" s="1" t="s">
        <v>485</v>
      </c>
      <c r="D217" s="1" t="s">
        <v>12</v>
      </c>
      <c r="E217" s="1" t="s">
        <v>13</v>
      </c>
      <c r="F217" s="1">
        <v>9</v>
      </c>
      <c r="G217" s="7">
        <v>50000</v>
      </c>
      <c r="H217" s="3">
        <v>10</v>
      </c>
      <c r="I217" s="2">
        <f>(salesdata[[#This Row],[Discount]]/100)</f>
        <v>0.1</v>
      </c>
      <c r="J217" s="9">
        <v>405000</v>
      </c>
      <c r="K217" s="5" t="s">
        <v>37</v>
      </c>
      <c r="L217" s="5" t="s">
        <v>98</v>
      </c>
      <c r="M217" s="5" t="s">
        <v>160</v>
      </c>
      <c r="N217" s="5" t="s">
        <v>31</v>
      </c>
      <c r="O217" s="1" t="str">
        <f>TEXT(salesdata[[#This Row],[Order_Date]],"mmm")</f>
        <v>Aug</v>
      </c>
      <c r="P217" s="1">
        <f>YEAR(salesdata[[#This Row],[Order_Date]])</f>
        <v>2025</v>
      </c>
      <c r="Q217" s="1" t="str">
        <f t="shared" si="3"/>
        <v>Q3</v>
      </c>
    </row>
    <row r="218" spans="1:17" x14ac:dyDescent="0.3">
      <c r="A218" s="1">
        <v>10217</v>
      </c>
      <c r="B218" s="1" t="s">
        <v>486</v>
      </c>
      <c r="C218" s="1" t="s">
        <v>487</v>
      </c>
      <c r="D218" s="1" t="s">
        <v>36</v>
      </c>
      <c r="E218" s="1" t="s">
        <v>13</v>
      </c>
      <c r="F218" s="1">
        <v>5</v>
      </c>
      <c r="G218" s="7">
        <v>8000</v>
      </c>
      <c r="H218" s="3">
        <v>12</v>
      </c>
      <c r="I218" s="2">
        <f>(salesdata[[#This Row],[Discount]]/100)</f>
        <v>0.12</v>
      </c>
      <c r="J218" s="8">
        <v>35200</v>
      </c>
      <c r="K218" s="4" t="s">
        <v>88</v>
      </c>
      <c r="L218" s="4" t="s">
        <v>24</v>
      </c>
      <c r="M218" s="4" t="s">
        <v>40</v>
      </c>
      <c r="N218" s="4" t="s">
        <v>20</v>
      </c>
      <c r="O218" s="1" t="str">
        <f>TEXT(salesdata[[#This Row],[Order_Date]],"mmm")</f>
        <v>Mar</v>
      </c>
      <c r="P218" s="1">
        <f>YEAR(salesdata[[#This Row],[Order_Date]])</f>
        <v>2025</v>
      </c>
      <c r="Q218" s="1" t="str">
        <f t="shared" si="3"/>
        <v>Q1</v>
      </c>
    </row>
    <row r="219" spans="1:17" x14ac:dyDescent="0.3">
      <c r="A219" s="1">
        <v>10218</v>
      </c>
      <c r="B219" s="1" t="s">
        <v>488</v>
      </c>
      <c r="C219" s="1" t="s">
        <v>489</v>
      </c>
      <c r="D219" s="1" t="s">
        <v>17</v>
      </c>
      <c r="E219" s="1" t="s">
        <v>13</v>
      </c>
      <c r="F219" s="1">
        <v>4</v>
      </c>
      <c r="G219" s="7">
        <v>2000</v>
      </c>
      <c r="H219" s="3">
        <v>13</v>
      </c>
      <c r="I219" s="2">
        <f>(salesdata[[#This Row],[Discount]]/100)</f>
        <v>0.13</v>
      </c>
      <c r="J219" s="9">
        <v>6960</v>
      </c>
      <c r="K219" s="5" t="s">
        <v>85</v>
      </c>
      <c r="L219" s="5" t="s">
        <v>24</v>
      </c>
      <c r="M219" s="5" t="s">
        <v>33</v>
      </c>
      <c r="N219" s="5" t="s">
        <v>20</v>
      </c>
      <c r="O219" s="1" t="str">
        <f>TEXT(salesdata[[#This Row],[Order_Date]],"mmm")</f>
        <v>Feb</v>
      </c>
      <c r="P219" s="1">
        <f>YEAR(salesdata[[#This Row],[Order_Date]])</f>
        <v>2025</v>
      </c>
      <c r="Q219" s="1" t="str">
        <f t="shared" si="3"/>
        <v>Q1</v>
      </c>
    </row>
    <row r="220" spans="1:17" x14ac:dyDescent="0.3">
      <c r="A220" s="1">
        <v>10219</v>
      </c>
      <c r="B220" s="1" t="s">
        <v>488</v>
      </c>
      <c r="C220" s="1" t="s">
        <v>490</v>
      </c>
      <c r="D220" s="1" t="s">
        <v>36</v>
      </c>
      <c r="E220" s="1" t="s">
        <v>13</v>
      </c>
      <c r="F220" s="1">
        <v>6</v>
      </c>
      <c r="G220" s="7">
        <v>8000</v>
      </c>
      <c r="H220" s="3">
        <v>9</v>
      </c>
      <c r="I220" s="2">
        <f>(salesdata[[#This Row],[Discount]]/100)</f>
        <v>0.09</v>
      </c>
      <c r="J220" s="8">
        <v>43680</v>
      </c>
      <c r="K220" s="4" t="s">
        <v>23</v>
      </c>
      <c r="L220" s="4" t="s">
        <v>98</v>
      </c>
      <c r="M220" s="4" t="s">
        <v>25</v>
      </c>
      <c r="N220" s="4" t="s">
        <v>20</v>
      </c>
      <c r="O220" s="1" t="str">
        <f>TEXT(salesdata[[#This Row],[Order_Date]],"mmm")</f>
        <v>Feb</v>
      </c>
      <c r="P220" s="1">
        <f>YEAR(salesdata[[#This Row],[Order_Date]])</f>
        <v>2025</v>
      </c>
      <c r="Q220" s="1" t="str">
        <f t="shared" si="3"/>
        <v>Q1</v>
      </c>
    </row>
    <row r="221" spans="1:17" x14ac:dyDescent="0.3">
      <c r="A221" s="1">
        <v>10220</v>
      </c>
      <c r="B221" s="1" t="s">
        <v>491</v>
      </c>
      <c r="C221" s="1" t="s">
        <v>492</v>
      </c>
      <c r="D221" s="1" t="s">
        <v>119</v>
      </c>
      <c r="E221" s="1" t="s">
        <v>13</v>
      </c>
      <c r="F221" s="1">
        <v>3</v>
      </c>
      <c r="G221" s="7">
        <v>5000</v>
      </c>
      <c r="H221" s="3">
        <v>4</v>
      </c>
      <c r="I221" s="2">
        <f>(salesdata[[#This Row],[Discount]]/100)</f>
        <v>0.04</v>
      </c>
      <c r="J221" s="9">
        <v>14400</v>
      </c>
      <c r="K221" s="5" t="s">
        <v>23</v>
      </c>
      <c r="L221" s="5" t="s">
        <v>24</v>
      </c>
      <c r="M221" s="5" t="s">
        <v>33</v>
      </c>
      <c r="N221" s="5" t="s">
        <v>31</v>
      </c>
      <c r="O221" s="1" t="str">
        <f>TEXT(salesdata[[#This Row],[Order_Date]],"mmm")</f>
        <v>Oct</v>
      </c>
      <c r="P221" s="1">
        <f>YEAR(salesdata[[#This Row],[Order_Date]])</f>
        <v>2025</v>
      </c>
      <c r="Q221" s="1" t="str">
        <f t="shared" si="3"/>
        <v>Q4</v>
      </c>
    </row>
    <row r="222" spans="1:17" x14ac:dyDescent="0.3">
      <c r="A222" s="1">
        <v>10221</v>
      </c>
      <c r="B222" s="1" t="s">
        <v>493</v>
      </c>
      <c r="C222" s="1" t="s">
        <v>494</v>
      </c>
      <c r="D222" s="1" t="s">
        <v>84</v>
      </c>
      <c r="E222" s="1" t="s">
        <v>28</v>
      </c>
      <c r="F222" s="1">
        <v>1</v>
      </c>
      <c r="G222" s="7">
        <v>15000</v>
      </c>
      <c r="H222" s="3">
        <v>2</v>
      </c>
      <c r="I222" s="2">
        <f>(salesdata[[#This Row],[Discount]]/100)</f>
        <v>0.02</v>
      </c>
      <c r="J222" s="8">
        <v>14700</v>
      </c>
      <c r="K222" s="4" t="s">
        <v>30</v>
      </c>
      <c r="L222" s="4" t="s">
        <v>98</v>
      </c>
      <c r="M222" s="4" t="s">
        <v>25</v>
      </c>
      <c r="N222" s="4" t="s">
        <v>31</v>
      </c>
      <c r="O222" s="1" t="str">
        <f>TEXT(salesdata[[#This Row],[Order_Date]],"mmm")</f>
        <v>Jul</v>
      </c>
      <c r="P222" s="1">
        <f>YEAR(salesdata[[#This Row],[Order_Date]])</f>
        <v>2025</v>
      </c>
      <c r="Q222" s="1" t="str">
        <f t="shared" si="3"/>
        <v>Q3</v>
      </c>
    </row>
    <row r="223" spans="1:17" x14ac:dyDescent="0.3">
      <c r="A223" s="1">
        <v>10222</v>
      </c>
      <c r="B223" s="1" t="s">
        <v>495</v>
      </c>
      <c r="C223" s="1" t="s">
        <v>496</v>
      </c>
      <c r="D223" s="1" t="s">
        <v>36</v>
      </c>
      <c r="E223" s="1" t="s">
        <v>13</v>
      </c>
      <c r="F223" s="1">
        <v>6</v>
      </c>
      <c r="G223" s="7">
        <v>8000</v>
      </c>
      <c r="H223" s="3">
        <v>16</v>
      </c>
      <c r="I223" s="2">
        <f>(salesdata[[#This Row],[Discount]]/100)</f>
        <v>0.16</v>
      </c>
      <c r="J223" s="9">
        <v>40320</v>
      </c>
      <c r="K223" s="5" t="s">
        <v>88</v>
      </c>
      <c r="L223" s="5" t="s">
        <v>98</v>
      </c>
      <c r="M223" s="5" t="s">
        <v>33</v>
      </c>
      <c r="N223" s="5" t="s">
        <v>16</v>
      </c>
      <c r="O223" s="1" t="str">
        <f>TEXT(salesdata[[#This Row],[Order_Date]],"mmm")</f>
        <v>Aug</v>
      </c>
      <c r="P223" s="1">
        <f>YEAR(salesdata[[#This Row],[Order_Date]])</f>
        <v>2025</v>
      </c>
      <c r="Q223" s="1" t="str">
        <f t="shared" si="3"/>
        <v>Q3</v>
      </c>
    </row>
    <row r="224" spans="1:17" x14ac:dyDescent="0.3">
      <c r="A224" s="1">
        <v>10223</v>
      </c>
      <c r="B224" s="1" t="s">
        <v>497</v>
      </c>
      <c r="C224" s="1" t="s">
        <v>498</v>
      </c>
      <c r="D224" s="1" t="s">
        <v>42</v>
      </c>
      <c r="E224" s="1" t="s">
        <v>13</v>
      </c>
      <c r="F224" s="1">
        <v>4</v>
      </c>
      <c r="G224" s="7">
        <v>25000</v>
      </c>
      <c r="H224" s="3">
        <v>18</v>
      </c>
      <c r="I224" s="2">
        <f>(salesdata[[#This Row],[Discount]]/100)</f>
        <v>0.18</v>
      </c>
      <c r="J224" s="8">
        <v>82000</v>
      </c>
      <c r="K224" s="4" t="s">
        <v>30</v>
      </c>
      <c r="L224" s="4" t="s">
        <v>15</v>
      </c>
      <c r="M224" s="4" t="s">
        <v>40</v>
      </c>
      <c r="N224" s="4" t="s">
        <v>31</v>
      </c>
      <c r="O224" s="1" t="str">
        <f>TEXT(salesdata[[#This Row],[Order_Date]],"mmm")</f>
        <v>Jan</v>
      </c>
      <c r="P224" s="1">
        <f>YEAR(salesdata[[#This Row],[Order_Date]])</f>
        <v>2025</v>
      </c>
      <c r="Q224" s="1" t="str">
        <f t="shared" si="3"/>
        <v>Q1</v>
      </c>
    </row>
    <row r="225" spans="1:17" x14ac:dyDescent="0.3">
      <c r="A225" s="1">
        <v>10224</v>
      </c>
      <c r="B225" s="1" t="s">
        <v>499</v>
      </c>
      <c r="C225" s="1" t="s">
        <v>500</v>
      </c>
      <c r="D225" s="1" t="s">
        <v>17</v>
      </c>
      <c r="E225" s="1" t="s">
        <v>13</v>
      </c>
      <c r="F225" s="1">
        <v>6</v>
      </c>
      <c r="G225" s="7">
        <v>2000</v>
      </c>
      <c r="H225" s="3">
        <v>1</v>
      </c>
      <c r="I225" s="2">
        <f>(salesdata[[#This Row],[Discount]]/100)</f>
        <v>0.01</v>
      </c>
      <c r="J225" s="9">
        <v>11880</v>
      </c>
      <c r="K225" s="5" t="s">
        <v>85</v>
      </c>
      <c r="L225" s="5" t="s">
        <v>35</v>
      </c>
      <c r="M225" s="5" t="s">
        <v>81</v>
      </c>
      <c r="N225" s="5" t="s">
        <v>34</v>
      </c>
      <c r="O225" s="1" t="str">
        <f>TEXT(salesdata[[#This Row],[Order_Date]],"mmm")</f>
        <v>Jul</v>
      </c>
      <c r="P225" s="1">
        <f>YEAR(salesdata[[#This Row],[Order_Date]])</f>
        <v>2025</v>
      </c>
      <c r="Q225" s="1" t="str">
        <f t="shared" si="3"/>
        <v>Q3</v>
      </c>
    </row>
    <row r="226" spans="1:17" x14ac:dyDescent="0.3">
      <c r="A226" s="1">
        <v>10225</v>
      </c>
      <c r="B226" s="1" t="s">
        <v>75</v>
      </c>
      <c r="C226" s="1" t="s">
        <v>501</v>
      </c>
      <c r="D226" s="1" t="s">
        <v>17</v>
      </c>
      <c r="E226" s="1" t="s">
        <v>13</v>
      </c>
      <c r="F226" s="1">
        <v>3</v>
      </c>
      <c r="G226" s="7">
        <v>2000</v>
      </c>
      <c r="H226" s="3">
        <v>6</v>
      </c>
      <c r="I226" s="2">
        <f>(salesdata[[#This Row],[Discount]]/100)</f>
        <v>0.06</v>
      </c>
      <c r="J226" s="8">
        <v>5640</v>
      </c>
      <c r="K226" s="4" t="s">
        <v>37</v>
      </c>
      <c r="L226" s="4" t="s">
        <v>91</v>
      </c>
      <c r="M226" s="4" t="s">
        <v>81</v>
      </c>
      <c r="N226" s="4" t="s">
        <v>16</v>
      </c>
      <c r="O226" s="1" t="str">
        <f>TEXT(salesdata[[#This Row],[Order_Date]],"mmm")</f>
        <v>Feb</v>
      </c>
      <c r="P226" s="1">
        <f>YEAR(salesdata[[#This Row],[Order_Date]])</f>
        <v>2025</v>
      </c>
      <c r="Q226" s="1" t="str">
        <f t="shared" si="3"/>
        <v>Q1</v>
      </c>
    </row>
    <row r="227" spans="1:17" x14ac:dyDescent="0.3">
      <c r="A227" s="1">
        <v>10226</v>
      </c>
      <c r="B227" s="1" t="s">
        <v>49</v>
      </c>
      <c r="C227" s="1" t="s">
        <v>502</v>
      </c>
      <c r="D227" s="1" t="s">
        <v>84</v>
      </c>
      <c r="E227" s="1" t="s">
        <v>28</v>
      </c>
      <c r="F227" s="1">
        <v>9</v>
      </c>
      <c r="G227" s="7">
        <v>15000</v>
      </c>
      <c r="H227" s="3">
        <v>15</v>
      </c>
      <c r="I227" s="2">
        <f>(salesdata[[#This Row],[Discount]]/100)</f>
        <v>0.15</v>
      </c>
      <c r="J227" s="9">
        <v>114750</v>
      </c>
      <c r="K227" s="5" t="s">
        <v>88</v>
      </c>
      <c r="L227" s="5" t="s">
        <v>91</v>
      </c>
      <c r="M227" s="5" t="s">
        <v>40</v>
      </c>
      <c r="N227" s="5" t="s">
        <v>20</v>
      </c>
      <c r="O227" s="1" t="str">
        <f>TEXT(salesdata[[#This Row],[Order_Date]],"mmm")</f>
        <v>Dec</v>
      </c>
      <c r="P227" s="1">
        <f>YEAR(salesdata[[#This Row],[Order_Date]])</f>
        <v>2025</v>
      </c>
      <c r="Q227" s="1" t="str">
        <f t="shared" si="3"/>
        <v>Q4</v>
      </c>
    </row>
    <row r="228" spans="1:17" x14ac:dyDescent="0.3">
      <c r="A228" s="1">
        <v>10227</v>
      </c>
      <c r="B228" s="1" t="s">
        <v>72</v>
      </c>
      <c r="C228" s="1" t="s">
        <v>503</v>
      </c>
      <c r="D228" s="1" t="s">
        <v>32</v>
      </c>
      <c r="E228" s="1" t="s">
        <v>28</v>
      </c>
      <c r="F228" s="1">
        <v>9</v>
      </c>
      <c r="G228" s="7">
        <v>3000</v>
      </c>
      <c r="H228" s="3">
        <v>15</v>
      </c>
      <c r="I228" s="2">
        <f>(salesdata[[#This Row],[Discount]]/100)</f>
        <v>0.15</v>
      </c>
      <c r="J228" s="8">
        <v>22950</v>
      </c>
      <c r="K228" s="4" t="s">
        <v>37</v>
      </c>
      <c r="L228" s="4" t="s">
        <v>98</v>
      </c>
      <c r="M228" s="4" t="s">
        <v>40</v>
      </c>
      <c r="N228" s="4" t="s">
        <v>34</v>
      </c>
      <c r="O228" s="1" t="str">
        <f>TEXT(salesdata[[#This Row],[Order_Date]],"mmm")</f>
        <v>Apr</v>
      </c>
      <c r="P228" s="1">
        <f>YEAR(salesdata[[#This Row],[Order_Date]])</f>
        <v>2025</v>
      </c>
      <c r="Q228" s="1" t="str">
        <f t="shared" si="3"/>
        <v>Q2</v>
      </c>
    </row>
    <row r="229" spans="1:17" x14ac:dyDescent="0.3">
      <c r="A229" s="1">
        <v>10228</v>
      </c>
      <c r="B229" s="1" t="s">
        <v>51</v>
      </c>
      <c r="C229" s="1" t="s">
        <v>504</v>
      </c>
      <c r="D229" s="1" t="s">
        <v>36</v>
      </c>
      <c r="E229" s="1" t="s">
        <v>13</v>
      </c>
      <c r="F229" s="1">
        <v>3</v>
      </c>
      <c r="G229" s="7">
        <v>8000</v>
      </c>
      <c r="H229" s="3">
        <v>18</v>
      </c>
      <c r="I229" s="2">
        <f>(salesdata[[#This Row],[Discount]]/100)</f>
        <v>0.18</v>
      </c>
      <c r="J229" s="9">
        <v>19680</v>
      </c>
      <c r="K229" s="5" t="s">
        <v>18</v>
      </c>
      <c r="L229" s="5" t="s">
        <v>35</v>
      </c>
      <c r="M229" s="5" t="s">
        <v>25</v>
      </c>
      <c r="N229" s="5" t="s">
        <v>20</v>
      </c>
      <c r="O229" s="1" t="str">
        <f>TEXT(salesdata[[#This Row],[Order_Date]],"mmm")</f>
        <v>Mar</v>
      </c>
      <c r="P229" s="1">
        <f>YEAR(salesdata[[#This Row],[Order_Date]])</f>
        <v>2025</v>
      </c>
      <c r="Q229" s="1" t="str">
        <f t="shared" si="3"/>
        <v>Q1</v>
      </c>
    </row>
    <row r="230" spans="1:17" x14ac:dyDescent="0.3">
      <c r="A230" s="1">
        <v>10229</v>
      </c>
      <c r="B230" s="1" t="s">
        <v>505</v>
      </c>
      <c r="C230" s="1" t="s">
        <v>506</v>
      </c>
      <c r="D230" s="1" t="s">
        <v>42</v>
      </c>
      <c r="E230" s="1" t="s">
        <v>13</v>
      </c>
      <c r="F230" s="1">
        <v>8</v>
      </c>
      <c r="G230" s="7">
        <v>25000</v>
      </c>
      <c r="H230" s="3">
        <v>17</v>
      </c>
      <c r="I230" s="2">
        <f>(salesdata[[#This Row],[Discount]]/100)</f>
        <v>0.17</v>
      </c>
      <c r="J230" s="8">
        <v>166000</v>
      </c>
      <c r="K230" s="4" t="s">
        <v>14</v>
      </c>
      <c r="L230" s="4" t="s">
        <v>24</v>
      </c>
      <c r="M230" s="4" t="s">
        <v>19</v>
      </c>
      <c r="N230" s="4" t="s">
        <v>31</v>
      </c>
      <c r="O230" s="1" t="str">
        <f>TEXT(salesdata[[#This Row],[Order_Date]],"mmm")</f>
        <v>Dec</v>
      </c>
      <c r="P230" s="1">
        <f>YEAR(salesdata[[#This Row],[Order_Date]])</f>
        <v>2025</v>
      </c>
      <c r="Q230" s="1" t="str">
        <f t="shared" si="3"/>
        <v>Q4</v>
      </c>
    </row>
    <row r="231" spans="1:17" x14ac:dyDescent="0.3">
      <c r="A231" s="1">
        <v>10230</v>
      </c>
      <c r="B231" s="1" t="s">
        <v>59</v>
      </c>
      <c r="C231" s="1" t="s">
        <v>507</v>
      </c>
      <c r="D231" s="1" t="s">
        <v>27</v>
      </c>
      <c r="E231" s="1" t="s">
        <v>28</v>
      </c>
      <c r="F231" s="1">
        <v>6</v>
      </c>
      <c r="G231" s="7">
        <v>7000</v>
      </c>
      <c r="H231" s="3">
        <v>8</v>
      </c>
      <c r="I231" s="2">
        <f>(salesdata[[#This Row],[Discount]]/100)</f>
        <v>0.08</v>
      </c>
      <c r="J231" s="9">
        <v>38640</v>
      </c>
      <c r="K231" s="5" t="s">
        <v>39</v>
      </c>
      <c r="L231" s="5" t="s">
        <v>91</v>
      </c>
      <c r="M231" s="5" t="s">
        <v>19</v>
      </c>
      <c r="N231" s="5" t="s">
        <v>34</v>
      </c>
      <c r="O231" s="1" t="str">
        <f>TEXT(salesdata[[#This Row],[Order_Date]],"mmm")</f>
        <v>Oct</v>
      </c>
      <c r="P231" s="1">
        <f>YEAR(salesdata[[#This Row],[Order_Date]])</f>
        <v>2025</v>
      </c>
      <c r="Q231" s="1" t="str">
        <f t="shared" si="3"/>
        <v>Q4</v>
      </c>
    </row>
    <row r="232" spans="1:17" x14ac:dyDescent="0.3">
      <c r="A232" s="1">
        <v>10231</v>
      </c>
      <c r="B232" s="1" t="s">
        <v>508</v>
      </c>
      <c r="C232" s="1" t="s">
        <v>509</v>
      </c>
      <c r="D232" s="1" t="s">
        <v>17</v>
      </c>
      <c r="E232" s="1" t="s">
        <v>13</v>
      </c>
      <c r="F232" s="1">
        <v>3</v>
      </c>
      <c r="G232" s="7">
        <v>2000</v>
      </c>
      <c r="H232" s="3">
        <v>7</v>
      </c>
      <c r="I232" s="2">
        <f>(salesdata[[#This Row],[Discount]]/100)</f>
        <v>7.0000000000000007E-2</v>
      </c>
      <c r="J232" s="8">
        <v>5580</v>
      </c>
      <c r="K232" s="4" t="s">
        <v>14</v>
      </c>
      <c r="L232" s="4" t="s">
        <v>35</v>
      </c>
      <c r="M232" s="4" t="s">
        <v>81</v>
      </c>
      <c r="N232" s="4" t="s">
        <v>16</v>
      </c>
      <c r="O232" s="1" t="str">
        <f>TEXT(salesdata[[#This Row],[Order_Date]],"mmm")</f>
        <v>Jun</v>
      </c>
      <c r="P232" s="1">
        <f>YEAR(salesdata[[#This Row],[Order_Date]])</f>
        <v>2025</v>
      </c>
      <c r="Q232" s="1" t="str">
        <f t="shared" si="3"/>
        <v>Q2</v>
      </c>
    </row>
    <row r="233" spans="1:17" x14ac:dyDescent="0.3">
      <c r="A233" s="1">
        <v>10232</v>
      </c>
      <c r="B233" s="1" t="s">
        <v>69</v>
      </c>
      <c r="C233" s="1" t="s">
        <v>510</v>
      </c>
      <c r="D233" s="1" t="s">
        <v>22</v>
      </c>
      <c r="E233" s="1" t="s">
        <v>13</v>
      </c>
      <c r="F233" s="1">
        <v>4</v>
      </c>
      <c r="G233" s="7">
        <v>1200</v>
      </c>
      <c r="H233" s="3">
        <v>19</v>
      </c>
      <c r="I233" s="2">
        <f>(salesdata[[#This Row],[Discount]]/100)</f>
        <v>0.19</v>
      </c>
      <c r="J233" s="9">
        <v>3888</v>
      </c>
      <c r="K233" s="5" t="s">
        <v>39</v>
      </c>
      <c r="L233" s="5" t="s">
        <v>24</v>
      </c>
      <c r="M233" s="5" t="s">
        <v>40</v>
      </c>
      <c r="N233" s="5" t="s">
        <v>16</v>
      </c>
      <c r="O233" s="1" t="str">
        <f>TEXT(salesdata[[#This Row],[Order_Date]],"mmm")</f>
        <v>Dec</v>
      </c>
      <c r="P233" s="1">
        <f>YEAR(salesdata[[#This Row],[Order_Date]])</f>
        <v>2025</v>
      </c>
      <c r="Q233" s="1" t="str">
        <f t="shared" si="3"/>
        <v>Q4</v>
      </c>
    </row>
    <row r="234" spans="1:17" x14ac:dyDescent="0.3">
      <c r="A234" s="1">
        <v>10233</v>
      </c>
      <c r="B234" s="1" t="s">
        <v>511</v>
      </c>
      <c r="C234" s="1" t="s">
        <v>512</v>
      </c>
      <c r="D234" s="1" t="s">
        <v>22</v>
      </c>
      <c r="E234" s="1" t="s">
        <v>13</v>
      </c>
      <c r="F234" s="1">
        <v>1</v>
      </c>
      <c r="G234" s="7">
        <v>1200</v>
      </c>
      <c r="H234" s="3">
        <v>19</v>
      </c>
      <c r="I234" s="2">
        <f>(salesdata[[#This Row],[Discount]]/100)</f>
        <v>0.19</v>
      </c>
      <c r="J234" s="8">
        <v>972</v>
      </c>
      <c r="K234" s="4" t="s">
        <v>37</v>
      </c>
      <c r="L234" s="4" t="s">
        <v>91</v>
      </c>
      <c r="M234" s="4" t="s">
        <v>25</v>
      </c>
      <c r="N234" s="4" t="s">
        <v>34</v>
      </c>
      <c r="O234" s="1" t="str">
        <f>TEXT(salesdata[[#This Row],[Order_Date]],"mmm")</f>
        <v>Aug</v>
      </c>
      <c r="P234" s="1">
        <f>YEAR(salesdata[[#This Row],[Order_Date]])</f>
        <v>2025</v>
      </c>
      <c r="Q234" s="1" t="str">
        <f t="shared" si="3"/>
        <v>Q3</v>
      </c>
    </row>
    <row r="235" spans="1:17" x14ac:dyDescent="0.3">
      <c r="A235" s="1">
        <v>10234</v>
      </c>
      <c r="B235" s="1" t="s">
        <v>513</v>
      </c>
      <c r="C235" s="1" t="s">
        <v>514</v>
      </c>
      <c r="D235" s="1" t="s">
        <v>17</v>
      </c>
      <c r="E235" s="1" t="s">
        <v>13</v>
      </c>
      <c r="F235" s="1">
        <v>5</v>
      </c>
      <c r="G235" s="7">
        <v>2000</v>
      </c>
      <c r="H235" s="3">
        <v>7</v>
      </c>
      <c r="I235" s="2">
        <f>(salesdata[[#This Row],[Discount]]/100)</f>
        <v>7.0000000000000007E-2</v>
      </c>
      <c r="J235" s="9">
        <v>9300</v>
      </c>
      <c r="K235" s="5" t="s">
        <v>18</v>
      </c>
      <c r="L235" s="5" t="s">
        <v>24</v>
      </c>
      <c r="M235" s="5" t="s">
        <v>40</v>
      </c>
      <c r="N235" s="5" t="s">
        <v>31</v>
      </c>
      <c r="O235" s="1" t="str">
        <f>TEXT(salesdata[[#This Row],[Order_Date]],"mmm")</f>
        <v>Apr</v>
      </c>
      <c r="P235" s="1">
        <f>YEAR(salesdata[[#This Row],[Order_Date]])</f>
        <v>2025</v>
      </c>
      <c r="Q235" s="1" t="str">
        <f t="shared" si="3"/>
        <v>Q2</v>
      </c>
    </row>
    <row r="236" spans="1:17" x14ac:dyDescent="0.3">
      <c r="A236" s="1">
        <v>10235</v>
      </c>
      <c r="B236" s="1" t="s">
        <v>48</v>
      </c>
      <c r="C236" s="1" t="s">
        <v>515</v>
      </c>
      <c r="D236" s="1" t="s">
        <v>17</v>
      </c>
      <c r="E236" s="1" t="s">
        <v>13</v>
      </c>
      <c r="F236" s="1">
        <v>4</v>
      </c>
      <c r="G236" s="7">
        <v>2000</v>
      </c>
      <c r="H236" s="3">
        <v>11</v>
      </c>
      <c r="I236" s="2">
        <f>(salesdata[[#This Row],[Discount]]/100)</f>
        <v>0.11</v>
      </c>
      <c r="J236" s="8">
        <v>7120</v>
      </c>
      <c r="K236" s="4" t="s">
        <v>37</v>
      </c>
      <c r="L236" s="4" t="s">
        <v>15</v>
      </c>
      <c r="M236" s="4" t="s">
        <v>25</v>
      </c>
      <c r="N236" s="4" t="s">
        <v>31</v>
      </c>
      <c r="O236" s="1" t="str">
        <f>TEXT(salesdata[[#This Row],[Order_Date]],"mmm")</f>
        <v>Dec</v>
      </c>
      <c r="P236" s="1">
        <f>YEAR(salesdata[[#This Row],[Order_Date]])</f>
        <v>2025</v>
      </c>
      <c r="Q236" s="1" t="str">
        <f t="shared" si="3"/>
        <v>Q4</v>
      </c>
    </row>
    <row r="237" spans="1:17" x14ac:dyDescent="0.3">
      <c r="A237" s="1">
        <v>10236</v>
      </c>
      <c r="B237" s="1" t="s">
        <v>26</v>
      </c>
      <c r="C237" s="1" t="s">
        <v>516</v>
      </c>
      <c r="D237" s="1" t="s">
        <v>22</v>
      </c>
      <c r="E237" s="1" t="s">
        <v>13</v>
      </c>
      <c r="F237" s="1">
        <v>6</v>
      </c>
      <c r="G237" s="7">
        <v>1200</v>
      </c>
      <c r="H237" s="3">
        <v>3</v>
      </c>
      <c r="I237" s="2">
        <f>(salesdata[[#This Row],[Discount]]/100)</f>
        <v>0.03</v>
      </c>
      <c r="J237" s="9">
        <v>6984</v>
      </c>
      <c r="K237" s="5" t="s">
        <v>30</v>
      </c>
      <c r="L237" s="5" t="s">
        <v>15</v>
      </c>
      <c r="M237" s="5" t="s">
        <v>40</v>
      </c>
      <c r="N237" s="5" t="s">
        <v>20</v>
      </c>
      <c r="O237" s="1" t="str">
        <f>TEXT(salesdata[[#This Row],[Order_Date]],"mmm")</f>
        <v>Sep</v>
      </c>
      <c r="P237" s="1">
        <f>YEAR(salesdata[[#This Row],[Order_Date]])</f>
        <v>2025</v>
      </c>
      <c r="Q237" s="1" t="str">
        <f t="shared" si="3"/>
        <v>Q3</v>
      </c>
    </row>
    <row r="238" spans="1:17" x14ac:dyDescent="0.3">
      <c r="A238" s="1">
        <v>10237</v>
      </c>
      <c r="B238" s="1" t="s">
        <v>53</v>
      </c>
      <c r="C238" s="1" t="s">
        <v>517</v>
      </c>
      <c r="D238" s="1" t="s">
        <v>29</v>
      </c>
      <c r="E238" s="1" t="s">
        <v>13</v>
      </c>
      <c r="F238" s="1">
        <v>8</v>
      </c>
      <c r="G238" s="7">
        <v>500</v>
      </c>
      <c r="H238" s="3">
        <v>11</v>
      </c>
      <c r="I238" s="2">
        <f>(salesdata[[#This Row],[Discount]]/100)</f>
        <v>0.11</v>
      </c>
      <c r="J238" s="8">
        <v>3560</v>
      </c>
      <c r="K238" s="4" t="s">
        <v>23</v>
      </c>
      <c r="L238" s="4" t="s">
        <v>98</v>
      </c>
      <c r="M238" s="4" t="s">
        <v>44</v>
      </c>
      <c r="N238" s="4" t="s">
        <v>16</v>
      </c>
      <c r="O238" s="1" t="str">
        <f>TEXT(salesdata[[#This Row],[Order_Date]],"mmm")</f>
        <v>Apr</v>
      </c>
      <c r="P238" s="1">
        <f>YEAR(salesdata[[#This Row],[Order_Date]])</f>
        <v>2025</v>
      </c>
      <c r="Q238" s="1" t="str">
        <f t="shared" si="3"/>
        <v>Q2</v>
      </c>
    </row>
    <row r="239" spans="1:17" x14ac:dyDescent="0.3">
      <c r="A239" s="1">
        <v>10238</v>
      </c>
      <c r="B239" s="1" t="s">
        <v>518</v>
      </c>
      <c r="C239" s="1" t="s">
        <v>519</v>
      </c>
      <c r="D239" s="1" t="s">
        <v>119</v>
      </c>
      <c r="E239" s="1" t="s">
        <v>13</v>
      </c>
      <c r="F239" s="1">
        <v>6</v>
      </c>
      <c r="G239" s="7">
        <v>5000</v>
      </c>
      <c r="H239" s="3">
        <v>0</v>
      </c>
      <c r="I239" s="2">
        <f>(salesdata[[#This Row],[Discount]]/100)</f>
        <v>0</v>
      </c>
      <c r="J239" s="9">
        <v>30000</v>
      </c>
      <c r="K239" s="5" t="s">
        <v>37</v>
      </c>
      <c r="L239" s="5" t="s">
        <v>35</v>
      </c>
      <c r="M239" s="5" t="s">
        <v>160</v>
      </c>
      <c r="N239" s="5" t="s">
        <v>34</v>
      </c>
      <c r="O239" s="1" t="str">
        <f>TEXT(salesdata[[#This Row],[Order_Date]],"mmm")</f>
        <v>Jul</v>
      </c>
      <c r="P239" s="1">
        <f>YEAR(salesdata[[#This Row],[Order_Date]])</f>
        <v>2025</v>
      </c>
      <c r="Q239" s="1" t="str">
        <f t="shared" si="3"/>
        <v>Q3</v>
      </c>
    </row>
    <row r="240" spans="1:17" x14ac:dyDescent="0.3">
      <c r="A240" s="1">
        <v>10239</v>
      </c>
      <c r="B240" s="1" t="s">
        <v>47</v>
      </c>
      <c r="C240" s="1" t="s">
        <v>520</v>
      </c>
      <c r="D240" s="1" t="s">
        <v>12</v>
      </c>
      <c r="E240" s="1" t="s">
        <v>13</v>
      </c>
      <c r="F240" s="1">
        <v>8</v>
      </c>
      <c r="G240" s="7">
        <v>50000</v>
      </c>
      <c r="H240" s="3">
        <v>20</v>
      </c>
      <c r="I240" s="2">
        <f>(salesdata[[#This Row],[Discount]]/100)</f>
        <v>0.2</v>
      </c>
      <c r="J240" s="8">
        <v>320000</v>
      </c>
      <c r="K240" s="4" t="s">
        <v>23</v>
      </c>
      <c r="L240" s="4" t="s">
        <v>15</v>
      </c>
      <c r="M240" s="4" t="s">
        <v>25</v>
      </c>
      <c r="N240" s="4" t="s">
        <v>34</v>
      </c>
      <c r="O240" s="1" t="str">
        <f>TEXT(salesdata[[#This Row],[Order_Date]],"mmm")</f>
        <v>Sep</v>
      </c>
      <c r="P240" s="1">
        <f>YEAR(salesdata[[#This Row],[Order_Date]])</f>
        <v>2025</v>
      </c>
      <c r="Q240" s="1" t="str">
        <f t="shared" si="3"/>
        <v>Q3</v>
      </c>
    </row>
    <row r="241" spans="1:17" x14ac:dyDescent="0.3">
      <c r="A241" s="1">
        <v>10240</v>
      </c>
      <c r="B241" s="1" t="s">
        <v>75</v>
      </c>
      <c r="C241" s="1" t="s">
        <v>521</v>
      </c>
      <c r="D241" s="1" t="s">
        <v>32</v>
      </c>
      <c r="E241" s="1" t="s">
        <v>28</v>
      </c>
      <c r="F241" s="1">
        <v>4</v>
      </c>
      <c r="G241" s="7">
        <v>3000</v>
      </c>
      <c r="H241" s="3">
        <v>6</v>
      </c>
      <c r="I241" s="2">
        <f>(salesdata[[#This Row],[Discount]]/100)</f>
        <v>0.06</v>
      </c>
      <c r="J241" s="9">
        <v>11280</v>
      </c>
      <c r="K241" s="5" t="s">
        <v>30</v>
      </c>
      <c r="L241" s="5" t="s">
        <v>91</v>
      </c>
      <c r="M241" s="5" t="s">
        <v>160</v>
      </c>
      <c r="N241" s="5" t="s">
        <v>34</v>
      </c>
      <c r="O241" s="1" t="str">
        <f>TEXT(salesdata[[#This Row],[Order_Date]],"mmm")</f>
        <v>Feb</v>
      </c>
      <c r="P241" s="1">
        <f>YEAR(salesdata[[#This Row],[Order_Date]])</f>
        <v>2025</v>
      </c>
      <c r="Q241" s="1" t="str">
        <f t="shared" si="3"/>
        <v>Q1</v>
      </c>
    </row>
    <row r="242" spans="1:17" x14ac:dyDescent="0.3">
      <c r="A242" s="1">
        <v>10241</v>
      </c>
      <c r="B242" s="1" t="s">
        <v>54</v>
      </c>
      <c r="C242" s="1" t="s">
        <v>522</v>
      </c>
      <c r="D242" s="1" t="s">
        <v>32</v>
      </c>
      <c r="E242" s="1" t="s">
        <v>28</v>
      </c>
      <c r="F242" s="1">
        <v>2</v>
      </c>
      <c r="G242" s="7">
        <v>3000</v>
      </c>
      <c r="H242" s="3">
        <v>16</v>
      </c>
      <c r="I242" s="2">
        <f>(salesdata[[#This Row],[Discount]]/100)</f>
        <v>0.16</v>
      </c>
      <c r="J242" s="8">
        <v>5040</v>
      </c>
      <c r="K242" s="4" t="s">
        <v>14</v>
      </c>
      <c r="L242" s="4" t="s">
        <v>91</v>
      </c>
      <c r="M242" s="4" t="s">
        <v>19</v>
      </c>
      <c r="N242" s="4" t="s">
        <v>34</v>
      </c>
      <c r="O242" s="1" t="str">
        <f>TEXT(salesdata[[#This Row],[Order_Date]],"mmm")</f>
        <v>Jun</v>
      </c>
      <c r="P242" s="1">
        <f>YEAR(salesdata[[#This Row],[Order_Date]])</f>
        <v>2025</v>
      </c>
      <c r="Q242" s="1" t="str">
        <f t="shared" si="3"/>
        <v>Q2</v>
      </c>
    </row>
    <row r="243" spans="1:17" x14ac:dyDescent="0.3">
      <c r="A243" s="1">
        <v>10242</v>
      </c>
      <c r="B243" s="1" t="s">
        <v>73</v>
      </c>
      <c r="C243" s="1" t="s">
        <v>485</v>
      </c>
      <c r="D243" s="1" t="s">
        <v>84</v>
      </c>
      <c r="E243" s="1" t="s">
        <v>28</v>
      </c>
      <c r="F243" s="1">
        <v>8</v>
      </c>
      <c r="G243" s="7">
        <v>15000</v>
      </c>
      <c r="H243" s="3">
        <v>6</v>
      </c>
      <c r="I243" s="2">
        <f>(salesdata[[#This Row],[Discount]]/100)</f>
        <v>0.06</v>
      </c>
      <c r="J243" s="9">
        <v>112800</v>
      </c>
      <c r="K243" s="5" t="s">
        <v>18</v>
      </c>
      <c r="L243" s="5" t="s">
        <v>98</v>
      </c>
      <c r="M243" s="5" t="s">
        <v>40</v>
      </c>
      <c r="N243" s="5" t="s">
        <v>31</v>
      </c>
      <c r="O243" s="1" t="str">
        <f>TEXT(salesdata[[#This Row],[Order_Date]],"mmm")</f>
        <v>Apr</v>
      </c>
      <c r="P243" s="1">
        <f>YEAR(salesdata[[#This Row],[Order_Date]])</f>
        <v>2025</v>
      </c>
      <c r="Q243" s="1" t="str">
        <f t="shared" si="3"/>
        <v>Q2</v>
      </c>
    </row>
    <row r="244" spans="1:17" x14ac:dyDescent="0.3">
      <c r="A244" s="1">
        <v>10243</v>
      </c>
      <c r="B244" s="1" t="s">
        <v>56</v>
      </c>
      <c r="C244" s="1" t="s">
        <v>523</v>
      </c>
      <c r="D244" s="1" t="s">
        <v>29</v>
      </c>
      <c r="E244" s="1" t="s">
        <v>13</v>
      </c>
      <c r="F244" s="1">
        <v>2</v>
      </c>
      <c r="G244" s="7">
        <v>500</v>
      </c>
      <c r="H244" s="3">
        <v>20</v>
      </c>
      <c r="I244" s="2">
        <f>(salesdata[[#This Row],[Discount]]/100)</f>
        <v>0.2</v>
      </c>
      <c r="J244" s="8">
        <v>800</v>
      </c>
      <c r="K244" s="4" t="s">
        <v>39</v>
      </c>
      <c r="L244" s="4" t="s">
        <v>98</v>
      </c>
      <c r="M244" s="4" t="s">
        <v>101</v>
      </c>
      <c r="N244" s="4" t="s">
        <v>20</v>
      </c>
      <c r="O244" s="1" t="str">
        <f>TEXT(salesdata[[#This Row],[Order_Date]],"mmm")</f>
        <v>Mar</v>
      </c>
      <c r="P244" s="1">
        <f>YEAR(salesdata[[#This Row],[Order_Date]])</f>
        <v>2025</v>
      </c>
      <c r="Q244" s="1" t="str">
        <f t="shared" si="3"/>
        <v>Q1</v>
      </c>
    </row>
    <row r="245" spans="1:17" x14ac:dyDescent="0.3">
      <c r="A245" s="1">
        <v>10244</v>
      </c>
      <c r="B245" s="1" t="s">
        <v>524</v>
      </c>
      <c r="C245" s="1" t="s">
        <v>525</v>
      </c>
      <c r="D245" s="1" t="s">
        <v>119</v>
      </c>
      <c r="E245" s="1" t="s">
        <v>13</v>
      </c>
      <c r="F245" s="1">
        <v>10</v>
      </c>
      <c r="G245" s="7">
        <v>5000</v>
      </c>
      <c r="H245" s="3">
        <v>5</v>
      </c>
      <c r="I245" s="2">
        <f>(salesdata[[#This Row],[Discount]]/100)</f>
        <v>0.05</v>
      </c>
      <c r="J245" s="9">
        <v>47500</v>
      </c>
      <c r="K245" s="5" t="s">
        <v>18</v>
      </c>
      <c r="L245" s="5" t="s">
        <v>15</v>
      </c>
      <c r="M245" s="5" t="s">
        <v>33</v>
      </c>
      <c r="N245" s="5" t="s">
        <v>34</v>
      </c>
      <c r="O245" s="1" t="str">
        <f>TEXT(salesdata[[#This Row],[Order_Date]],"mmm")</f>
        <v>Aug</v>
      </c>
      <c r="P245" s="1">
        <f>YEAR(salesdata[[#This Row],[Order_Date]])</f>
        <v>2025</v>
      </c>
      <c r="Q245" s="1" t="str">
        <f t="shared" si="3"/>
        <v>Q3</v>
      </c>
    </row>
    <row r="246" spans="1:17" x14ac:dyDescent="0.3">
      <c r="A246" s="1">
        <v>10245</v>
      </c>
      <c r="B246" s="1" t="s">
        <v>70</v>
      </c>
      <c r="C246" s="1" t="s">
        <v>526</v>
      </c>
      <c r="D246" s="1" t="s">
        <v>42</v>
      </c>
      <c r="E246" s="1" t="s">
        <v>13</v>
      </c>
      <c r="F246" s="1">
        <v>4</v>
      </c>
      <c r="G246" s="7">
        <v>25000</v>
      </c>
      <c r="H246" s="3">
        <v>4</v>
      </c>
      <c r="I246" s="2">
        <f>(salesdata[[#This Row],[Discount]]/100)</f>
        <v>0.04</v>
      </c>
      <c r="J246" s="8">
        <v>96000</v>
      </c>
      <c r="K246" s="4" t="s">
        <v>39</v>
      </c>
      <c r="L246" s="4" t="s">
        <v>35</v>
      </c>
      <c r="M246" s="4" t="s">
        <v>44</v>
      </c>
      <c r="N246" s="4" t="s">
        <v>34</v>
      </c>
      <c r="O246" s="1" t="str">
        <f>TEXT(salesdata[[#This Row],[Order_Date]],"mmm")</f>
        <v>Sep</v>
      </c>
      <c r="P246" s="1">
        <f>YEAR(salesdata[[#This Row],[Order_Date]])</f>
        <v>2025</v>
      </c>
      <c r="Q246" s="1" t="str">
        <f t="shared" si="3"/>
        <v>Q3</v>
      </c>
    </row>
    <row r="247" spans="1:17" x14ac:dyDescent="0.3">
      <c r="A247" s="1">
        <v>10246</v>
      </c>
      <c r="B247" s="1" t="s">
        <v>527</v>
      </c>
      <c r="C247" s="1" t="s">
        <v>528</v>
      </c>
      <c r="D247" s="1" t="s">
        <v>84</v>
      </c>
      <c r="E247" s="1" t="s">
        <v>28</v>
      </c>
      <c r="F247" s="1">
        <v>5</v>
      </c>
      <c r="G247" s="7">
        <v>15000</v>
      </c>
      <c r="H247" s="3">
        <v>15</v>
      </c>
      <c r="I247" s="2">
        <f>(salesdata[[#This Row],[Discount]]/100)</f>
        <v>0.15</v>
      </c>
      <c r="J247" s="9">
        <v>63750</v>
      </c>
      <c r="K247" s="5" t="s">
        <v>23</v>
      </c>
      <c r="L247" s="5" t="s">
        <v>98</v>
      </c>
      <c r="M247" s="5" t="s">
        <v>40</v>
      </c>
      <c r="N247" s="5" t="s">
        <v>34</v>
      </c>
      <c r="O247" s="1" t="str">
        <f>TEXT(salesdata[[#This Row],[Order_Date]],"mmm")</f>
        <v>Oct</v>
      </c>
      <c r="P247" s="1">
        <f>YEAR(salesdata[[#This Row],[Order_Date]])</f>
        <v>2025</v>
      </c>
      <c r="Q247" s="1" t="str">
        <f t="shared" si="3"/>
        <v>Q4</v>
      </c>
    </row>
    <row r="248" spans="1:17" x14ac:dyDescent="0.3">
      <c r="A248" s="1">
        <v>10247</v>
      </c>
      <c r="B248" s="1" t="s">
        <v>65</v>
      </c>
      <c r="C248" s="1" t="s">
        <v>529</v>
      </c>
      <c r="D248" s="1" t="s">
        <v>27</v>
      </c>
      <c r="E248" s="1" t="s">
        <v>28</v>
      </c>
      <c r="F248" s="1">
        <v>5</v>
      </c>
      <c r="G248" s="7">
        <v>7000</v>
      </c>
      <c r="H248" s="3">
        <v>5</v>
      </c>
      <c r="I248" s="2">
        <f>(salesdata[[#This Row],[Discount]]/100)</f>
        <v>0.05</v>
      </c>
      <c r="J248" s="8">
        <v>33250</v>
      </c>
      <c r="K248" s="4" t="s">
        <v>30</v>
      </c>
      <c r="L248" s="4" t="s">
        <v>98</v>
      </c>
      <c r="M248" s="4" t="s">
        <v>44</v>
      </c>
      <c r="N248" s="4" t="s">
        <v>34</v>
      </c>
      <c r="O248" s="1" t="str">
        <f>TEXT(salesdata[[#This Row],[Order_Date]],"mmm")</f>
        <v>May</v>
      </c>
      <c r="P248" s="1">
        <f>YEAR(salesdata[[#This Row],[Order_Date]])</f>
        <v>2025</v>
      </c>
      <c r="Q248" s="1" t="str">
        <f t="shared" si="3"/>
        <v>Q2</v>
      </c>
    </row>
    <row r="249" spans="1:17" x14ac:dyDescent="0.3">
      <c r="A249" s="1">
        <v>10248</v>
      </c>
      <c r="B249" s="1" t="s">
        <v>530</v>
      </c>
      <c r="C249" s="1" t="s">
        <v>531</v>
      </c>
      <c r="D249" s="1" t="s">
        <v>27</v>
      </c>
      <c r="E249" s="1" t="s">
        <v>28</v>
      </c>
      <c r="F249" s="1">
        <v>2</v>
      </c>
      <c r="G249" s="7">
        <v>7000</v>
      </c>
      <c r="H249" s="3">
        <v>20</v>
      </c>
      <c r="I249" s="2">
        <f>(salesdata[[#This Row],[Discount]]/100)</f>
        <v>0.2</v>
      </c>
      <c r="J249" s="9">
        <v>11200</v>
      </c>
      <c r="K249" s="5" t="s">
        <v>14</v>
      </c>
      <c r="L249" s="5" t="s">
        <v>15</v>
      </c>
      <c r="M249" s="5" t="s">
        <v>19</v>
      </c>
      <c r="N249" s="5" t="s">
        <v>31</v>
      </c>
      <c r="O249" s="1" t="str">
        <f>TEXT(salesdata[[#This Row],[Order_Date]],"mmm")</f>
        <v>Apr</v>
      </c>
      <c r="P249" s="1">
        <f>YEAR(salesdata[[#This Row],[Order_Date]])</f>
        <v>2025</v>
      </c>
      <c r="Q249" s="1" t="str">
        <f t="shared" si="3"/>
        <v>Q2</v>
      </c>
    </row>
    <row r="250" spans="1:17" x14ac:dyDescent="0.3">
      <c r="A250" s="1">
        <v>10249</v>
      </c>
      <c r="B250" s="1" t="s">
        <v>532</v>
      </c>
      <c r="C250" s="1" t="s">
        <v>533</v>
      </c>
      <c r="D250" s="1" t="s">
        <v>32</v>
      </c>
      <c r="E250" s="1" t="s">
        <v>28</v>
      </c>
      <c r="F250" s="1">
        <v>1</v>
      </c>
      <c r="G250" s="7">
        <v>3000</v>
      </c>
      <c r="H250" s="3">
        <v>19</v>
      </c>
      <c r="I250" s="2">
        <f>(salesdata[[#This Row],[Discount]]/100)</f>
        <v>0.19</v>
      </c>
      <c r="J250" s="8">
        <v>2430</v>
      </c>
      <c r="K250" s="4" t="s">
        <v>23</v>
      </c>
      <c r="L250" s="4" t="s">
        <v>15</v>
      </c>
      <c r="M250" s="4" t="s">
        <v>44</v>
      </c>
      <c r="N250" s="4" t="s">
        <v>31</v>
      </c>
      <c r="O250" s="1" t="str">
        <f>TEXT(salesdata[[#This Row],[Order_Date]],"mmm")</f>
        <v>Jul</v>
      </c>
      <c r="P250" s="1">
        <f>YEAR(salesdata[[#This Row],[Order_Date]])</f>
        <v>2025</v>
      </c>
      <c r="Q250" s="1" t="str">
        <f t="shared" si="3"/>
        <v>Q3</v>
      </c>
    </row>
    <row r="251" spans="1:17" x14ac:dyDescent="0.3">
      <c r="A251" s="1">
        <v>10250</v>
      </c>
      <c r="B251" s="1" t="s">
        <v>486</v>
      </c>
      <c r="C251" s="1" t="s">
        <v>534</v>
      </c>
      <c r="D251" s="1" t="s">
        <v>42</v>
      </c>
      <c r="E251" s="1" t="s">
        <v>13</v>
      </c>
      <c r="F251" s="1">
        <v>4</v>
      </c>
      <c r="G251" s="7">
        <v>25000</v>
      </c>
      <c r="H251" s="3">
        <v>6</v>
      </c>
      <c r="I251" s="2">
        <f>(salesdata[[#This Row],[Discount]]/100)</f>
        <v>0.06</v>
      </c>
      <c r="J251" s="9">
        <v>94000</v>
      </c>
      <c r="K251" s="5" t="s">
        <v>18</v>
      </c>
      <c r="L251" s="5" t="s">
        <v>15</v>
      </c>
      <c r="M251" s="5" t="s">
        <v>160</v>
      </c>
      <c r="N251" s="5" t="s">
        <v>34</v>
      </c>
      <c r="O251" s="1" t="str">
        <f>TEXT(salesdata[[#This Row],[Order_Date]],"mmm")</f>
        <v>Mar</v>
      </c>
      <c r="P251" s="1">
        <f>YEAR(salesdata[[#This Row],[Order_Date]])</f>
        <v>2025</v>
      </c>
      <c r="Q251" s="1" t="str">
        <f t="shared" si="3"/>
        <v>Q1</v>
      </c>
    </row>
    <row r="252" spans="1:17" x14ac:dyDescent="0.3">
      <c r="A252" s="1">
        <v>10251</v>
      </c>
      <c r="B252" s="1" t="s">
        <v>57</v>
      </c>
      <c r="C252" s="1" t="s">
        <v>535</v>
      </c>
      <c r="D252" s="1" t="s">
        <v>29</v>
      </c>
      <c r="E252" s="1" t="s">
        <v>13</v>
      </c>
      <c r="F252" s="1">
        <v>3</v>
      </c>
      <c r="G252" s="7">
        <v>500</v>
      </c>
      <c r="H252" s="3">
        <v>18</v>
      </c>
      <c r="I252" s="2">
        <f>(salesdata[[#This Row],[Discount]]/100)</f>
        <v>0.18</v>
      </c>
      <c r="J252" s="8">
        <v>1230</v>
      </c>
      <c r="K252" s="4" t="s">
        <v>37</v>
      </c>
      <c r="L252" s="4" t="s">
        <v>15</v>
      </c>
      <c r="M252" s="4" t="s">
        <v>160</v>
      </c>
      <c r="N252" s="4" t="s">
        <v>34</v>
      </c>
      <c r="O252" s="1" t="str">
        <f>TEXT(salesdata[[#This Row],[Order_Date]],"mmm")</f>
        <v>Dec</v>
      </c>
      <c r="P252" s="1">
        <f>YEAR(salesdata[[#This Row],[Order_Date]])</f>
        <v>2025</v>
      </c>
      <c r="Q252" s="1" t="str">
        <f t="shared" si="3"/>
        <v>Q4</v>
      </c>
    </row>
    <row r="253" spans="1:17" x14ac:dyDescent="0.3">
      <c r="A253" s="1">
        <v>10252</v>
      </c>
      <c r="B253" s="1" t="s">
        <v>536</v>
      </c>
      <c r="C253" s="1" t="s">
        <v>519</v>
      </c>
      <c r="D253" s="1" t="s">
        <v>17</v>
      </c>
      <c r="E253" s="1" t="s">
        <v>13</v>
      </c>
      <c r="F253" s="1">
        <v>8</v>
      </c>
      <c r="G253" s="7">
        <v>2000</v>
      </c>
      <c r="H253" s="3">
        <v>9</v>
      </c>
      <c r="I253" s="2">
        <f>(salesdata[[#This Row],[Discount]]/100)</f>
        <v>0.09</v>
      </c>
      <c r="J253" s="9">
        <v>14560</v>
      </c>
      <c r="K253" s="5" t="s">
        <v>88</v>
      </c>
      <c r="L253" s="5" t="s">
        <v>35</v>
      </c>
      <c r="M253" s="5" t="s">
        <v>19</v>
      </c>
      <c r="N253" s="5" t="s">
        <v>20</v>
      </c>
      <c r="O253" s="1" t="str">
        <f>TEXT(salesdata[[#This Row],[Order_Date]],"mmm")</f>
        <v>Jan</v>
      </c>
      <c r="P253" s="1">
        <f>YEAR(salesdata[[#This Row],[Order_Date]])</f>
        <v>2025</v>
      </c>
      <c r="Q253" s="1" t="str">
        <f t="shared" si="3"/>
        <v>Q1</v>
      </c>
    </row>
    <row r="254" spans="1:17" x14ac:dyDescent="0.3">
      <c r="A254" s="1">
        <v>10253</v>
      </c>
      <c r="B254" s="1" t="s">
        <v>537</v>
      </c>
      <c r="C254" s="1" t="s">
        <v>538</v>
      </c>
      <c r="D254" s="1" t="s">
        <v>119</v>
      </c>
      <c r="E254" s="1" t="s">
        <v>13</v>
      </c>
      <c r="F254" s="1">
        <v>7</v>
      </c>
      <c r="G254" s="7">
        <v>5000</v>
      </c>
      <c r="H254" s="3">
        <v>15</v>
      </c>
      <c r="I254" s="2">
        <f>(salesdata[[#This Row],[Discount]]/100)</f>
        <v>0.15</v>
      </c>
      <c r="J254" s="8">
        <v>29750</v>
      </c>
      <c r="K254" s="4" t="s">
        <v>23</v>
      </c>
      <c r="L254" s="4" t="s">
        <v>15</v>
      </c>
      <c r="M254" s="4" t="s">
        <v>101</v>
      </c>
      <c r="N254" s="4" t="s">
        <v>34</v>
      </c>
      <c r="O254" s="1" t="str">
        <f>TEXT(salesdata[[#This Row],[Order_Date]],"mmm")</f>
        <v>Jul</v>
      </c>
      <c r="P254" s="1">
        <f>YEAR(salesdata[[#This Row],[Order_Date]])</f>
        <v>2025</v>
      </c>
      <c r="Q254" s="1" t="str">
        <f t="shared" si="3"/>
        <v>Q3</v>
      </c>
    </row>
    <row r="255" spans="1:17" x14ac:dyDescent="0.3">
      <c r="A255" s="1">
        <v>10254</v>
      </c>
      <c r="B255" s="1" t="s">
        <v>532</v>
      </c>
      <c r="C255" s="1" t="s">
        <v>539</v>
      </c>
      <c r="D255" s="1" t="s">
        <v>36</v>
      </c>
      <c r="E255" s="1" t="s">
        <v>13</v>
      </c>
      <c r="F255" s="1">
        <v>9</v>
      </c>
      <c r="G255" s="7">
        <v>8000</v>
      </c>
      <c r="H255" s="3">
        <v>9</v>
      </c>
      <c r="I255" s="2">
        <f>(salesdata[[#This Row],[Discount]]/100)</f>
        <v>0.09</v>
      </c>
      <c r="J255" s="9">
        <v>65520</v>
      </c>
      <c r="K255" s="5" t="s">
        <v>23</v>
      </c>
      <c r="L255" s="5" t="s">
        <v>98</v>
      </c>
      <c r="M255" s="5" t="s">
        <v>101</v>
      </c>
      <c r="N255" s="5" t="s">
        <v>34</v>
      </c>
      <c r="O255" s="1" t="str">
        <f>TEXT(salesdata[[#This Row],[Order_Date]],"mmm")</f>
        <v>Jul</v>
      </c>
      <c r="P255" s="1">
        <f>YEAR(salesdata[[#This Row],[Order_Date]])</f>
        <v>2025</v>
      </c>
      <c r="Q255" s="1" t="str">
        <f t="shared" si="3"/>
        <v>Q3</v>
      </c>
    </row>
    <row r="256" spans="1:17" x14ac:dyDescent="0.3">
      <c r="A256" s="1">
        <v>10255</v>
      </c>
      <c r="B256" s="1" t="s">
        <v>540</v>
      </c>
      <c r="C256" s="1" t="s">
        <v>541</v>
      </c>
      <c r="D256" s="1" t="s">
        <v>36</v>
      </c>
      <c r="E256" s="1" t="s">
        <v>13</v>
      </c>
      <c r="F256" s="1">
        <v>10</v>
      </c>
      <c r="G256" s="7">
        <v>8000</v>
      </c>
      <c r="H256" s="3">
        <v>2</v>
      </c>
      <c r="I256" s="2">
        <f>(salesdata[[#This Row],[Discount]]/100)</f>
        <v>0.02</v>
      </c>
      <c r="J256" s="8">
        <v>78400</v>
      </c>
      <c r="K256" s="4" t="s">
        <v>14</v>
      </c>
      <c r="L256" s="4" t="s">
        <v>35</v>
      </c>
      <c r="M256" s="4" t="s">
        <v>101</v>
      </c>
      <c r="N256" s="4" t="s">
        <v>20</v>
      </c>
      <c r="O256" s="1" t="str">
        <f>TEXT(salesdata[[#This Row],[Order_Date]],"mmm")</f>
        <v>Oct</v>
      </c>
      <c r="P256" s="1">
        <f>YEAR(salesdata[[#This Row],[Order_Date]])</f>
        <v>2025</v>
      </c>
      <c r="Q256" s="1" t="str">
        <f t="shared" si="3"/>
        <v>Q4</v>
      </c>
    </row>
    <row r="257" spans="1:17" x14ac:dyDescent="0.3">
      <c r="A257" s="1">
        <v>10256</v>
      </c>
      <c r="B257" s="1" t="s">
        <v>71</v>
      </c>
      <c r="C257" s="1" t="s">
        <v>542</v>
      </c>
      <c r="D257" s="1" t="s">
        <v>12</v>
      </c>
      <c r="E257" s="1" t="s">
        <v>13</v>
      </c>
      <c r="F257" s="1">
        <v>3</v>
      </c>
      <c r="G257" s="7">
        <v>50000</v>
      </c>
      <c r="H257" s="3">
        <v>3</v>
      </c>
      <c r="I257" s="2">
        <f>(salesdata[[#This Row],[Discount]]/100)</f>
        <v>0.03</v>
      </c>
      <c r="J257" s="9">
        <v>145500</v>
      </c>
      <c r="K257" s="5" t="s">
        <v>30</v>
      </c>
      <c r="L257" s="5" t="s">
        <v>15</v>
      </c>
      <c r="M257" s="5" t="s">
        <v>160</v>
      </c>
      <c r="N257" s="5" t="s">
        <v>20</v>
      </c>
      <c r="O257" s="1" t="str">
        <f>TEXT(salesdata[[#This Row],[Order_Date]],"mmm")</f>
        <v>Feb</v>
      </c>
      <c r="P257" s="1">
        <f>YEAR(salesdata[[#This Row],[Order_Date]])</f>
        <v>2025</v>
      </c>
      <c r="Q257" s="1" t="str">
        <f t="shared" si="3"/>
        <v>Q1</v>
      </c>
    </row>
    <row r="258" spans="1:17" x14ac:dyDescent="0.3">
      <c r="A258" s="1">
        <v>10257</v>
      </c>
      <c r="B258" s="1" t="s">
        <v>43</v>
      </c>
      <c r="C258" s="1" t="s">
        <v>543</v>
      </c>
      <c r="D258" s="1" t="s">
        <v>12</v>
      </c>
      <c r="E258" s="1" t="s">
        <v>13</v>
      </c>
      <c r="F258" s="1">
        <v>7</v>
      </c>
      <c r="G258" s="7">
        <v>50000</v>
      </c>
      <c r="H258" s="3">
        <v>17</v>
      </c>
      <c r="I258" s="2">
        <f>(salesdata[[#This Row],[Discount]]/100)</f>
        <v>0.17</v>
      </c>
      <c r="J258" s="8">
        <v>290500</v>
      </c>
      <c r="K258" s="4" t="s">
        <v>88</v>
      </c>
      <c r="L258" s="4" t="s">
        <v>98</v>
      </c>
      <c r="M258" s="4" t="s">
        <v>160</v>
      </c>
      <c r="N258" s="4" t="s">
        <v>31</v>
      </c>
      <c r="O258" s="1" t="str">
        <f>TEXT(salesdata[[#This Row],[Order_Date]],"mmm")</f>
        <v>Nov</v>
      </c>
      <c r="P258" s="1">
        <f>YEAR(salesdata[[#This Row],[Order_Date]])</f>
        <v>2025</v>
      </c>
      <c r="Q258" s="1" t="str">
        <f t="shared" ref="Q258:Q301" si="4">"Q"&amp;ROUNDUP(MONTH(B258)/3,0)</f>
        <v>Q4</v>
      </c>
    </row>
    <row r="259" spans="1:17" x14ac:dyDescent="0.3">
      <c r="A259" s="1">
        <v>10258</v>
      </c>
      <c r="B259" s="1" t="s">
        <v>47</v>
      </c>
      <c r="C259" s="1" t="s">
        <v>544</v>
      </c>
      <c r="D259" s="1" t="s">
        <v>36</v>
      </c>
      <c r="E259" s="1" t="s">
        <v>13</v>
      </c>
      <c r="F259" s="1">
        <v>6</v>
      </c>
      <c r="G259" s="7">
        <v>8000</v>
      </c>
      <c r="H259" s="3">
        <v>6</v>
      </c>
      <c r="I259" s="2">
        <f>(salesdata[[#This Row],[Discount]]/100)</f>
        <v>0.06</v>
      </c>
      <c r="J259" s="9">
        <v>45120</v>
      </c>
      <c r="K259" s="5" t="s">
        <v>18</v>
      </c>
      <c r="L259" s="5" t="s">
        <v>98</v>
      </c>
      <c r="M259" s="5" t="s">
        <v>44</v>
      </c>
      <c r="N259" s="5" t="s">
        <v>20</v>
      </c>
      <c r="O259" s="1" t="str">
        <f>TEXT(salesdata[[#This Row],[Order_Date]],"mmm")</f>
        <v>Sep</v>
      </c>
      <c r="P259" s="1">
        <f>YEAR(salesdata[[#This Row],[Order_Date]])</f>
        <v>2025</v>
      </c>
      <c r="Q259" s="1" t="str">
        <f t="shared" si="4"/>
        <v>Q3</v>
      </c>
    </row>
    <row r="260" spans="1:17" x14ac:dyDescent="0.3">
      <c r="A260" s="1">
        <v>10259</v>
      </c>
      <c r="B260" s="1" t="s">
        <v>545</v>
      </c>
      <c r="C260" s="1" t="s">
        <v>546</v>
      </c>
      <c r="D260" s="1" t="s">
        <v>29</v>
      </c>
      <c r="E260" s="1" t="s">
        <v>13</v>
      </c>
      <c r="F260" s="1">
        <v>8</v>
      </c>
      <c r="G260" s="7">
        <v>500</v>
      </c>
      <c r="H260" s="3">
        <v>5</v>
      </c>
      <c r="I260" s="2">
        <f>(salesdata[[#This Row],[Discount]]/100)</f>
        <v>0.05</v>
      </c>
      <c r="J260" s="8">
        <v>3800</v>
      </c>
      <c r="K260" s="4" t="s">
        <v>37</v>
      </c>
      <c r="L260" s="4" t="s">
        <v>98</v>
      </c>
      <c r="M260" s="4" t="s">
        <v>25</v>
      </c>
      <c r="N260" s="4" t="s">
        <v>20</v>
      </c>
      <c r="O260" s="1" t="str">
        <f>TEXT(salesdata[[#This Row],[Order_Date]],"mmm")</f>
        <v>Apr</v>
      </c>
      <c r="P260" s="1">
        <f>YEAR(salesdata[[#This Row],[Order_Date]])</f>
        <v>2025</v>
      </c>
      <c r="Q260" s="1" t="str">
        <f t="shared" si="4"/>
        <v>Q2</v>
      </c>
    </row>
    <row r="261" spans="1:17" x14ac:dyDescent="0.3">
      <c r="A261" s="1">
        <v>10260</v>
      </c>
      <c r="B261" s="1" t="s">
        <v>63</v>
      </c>
      <c r="C261" s="1" t="s">
        <v>547</v>
      </c>
      <c r="D261" s="1" t="s">
        <v>36</v>
      </c>
      <c r="E261" s="1" t="s">
        <v>13</v>
      </c>
      <c r="F261" s="1">
        <v>8</v>
      </c>
      <c r="G261" s="7">
        <v>8000</v>
      </c>
      <c r="H261" s="3">
        <v>2</v>
      </c>
      <c r="I261" s="2">
        <f>(salesdata[[#This Row],[Discount]]/100)</f>
        <v>0.02</v>
      </c>
      <c r="J261" s="9">
        <v>62720</v>
      </c>
      <c r="K261" s="5" t="s">
        <v>85</v>
      </c>
      <c r="L261" s="5" t="s">
        <v>98</v>
      </c>
      <c r="M261" s="5" t="s">
        <v>33</v>
      </c>
      <c r="N261" s="5" t="s">
        <v>16</v>
      </c>
      <c r="O261" s="1" t="str">
        <f>TEXT(salesdata[[#This Row],[Order_Date]],"mmm")</f>
        <v>Feb</v>
      </c>
      <c r="P261" s="1">
        <f>YEAR(salesdata[[#This Row],[Order_Date]])</f>
        <v>2025</v>
      </c>
      <c r="Q261" s="1" t="str">
        <f t="shared" si="4"/>
        <v>Q1</v>
      </c>
    </row>
    <row r="262" spans="1:17" x14ac:dyDescent="0.3">
      <c r="A262" s="1">
        <v>10261</v>
      </c>
      <c r="B262" s="1" t="s">
        <v>21</v>
      </c>
      <c r="C262" s="1" t="s">
        <v>548</v>
      </c>
      <c r="D262" s="1" t="s">
        <v>17</v>
      </c>
      <c r="E262" s="1" t="s">
        <v>13</v>
      </c>
      <c r="F262" s="1">
        <v>3</v>
      </c>
      <c r="G262" s="7">
        <v>2000</v>
      </c>
      <c r="H262" s="3">
        <v>18</v>
      </c>
      <c r="I262" s="2">
        <f>(salesdata[[#This Row],[Discount]]/100)</f>
        <v>0.18</v>
      </c>
      <c r="J262" s="8">
        <v>4920</v>
      </c>
      <c r="K262" s="4" t="s">
        <v>30</v>
      </c>
      <c r="L262" s="4" t="s">
        <v>15</v>
      </c>
      <c r="M262" s="4" t="s">
        <v>25</v>
      </c>
      <c r="N262" s="4" t="s">
        <v>16</v>
      </c>
      <c r="O262" s="1" t="str">
        <f>TEXT(salesdata[[#This Row],[Order_Date]],"mmm")</f>
        <v>Apr</v>
      </c>
      <c r="P262" s="1">
        <f>YEAR(salesdata[[#This Row],[Order_Date]])</f>
        <v>2025</v>
      </c>
      <c r="Q262" s="1" t="str">
        <f t="shared" si="4"/>
        <v>Q2</v>
      </c>
    </row>
    <row r="263" spans="1:17" x14ac:dyDescent="0.3">
      <c r="A263" s="1">
        <v>10262</v>
      </c>
      <c r="B263" s="1" t="s">
        <v>47</v>
      </c>
      <c r="C263" s="1" t="s">
        <v>549</v>
      </c>
      <c r="D263" s="1" t="s">
        <v>84</v>
      </c>
      <c r="E263" s="1" t="s">
        <v>28</v>
      </c>
      <c r="F263" s="1">
        <v>10</v>
      </c>
      <c r="G263" s="7">
        <v>15000</v>
      </c>
      <c r="H263" s="3">
        <v>8</v>
      </c>
      <c r="I263" s="2">
        <f>(salesdata[[#This Row],[Discount]]/100)</f>
        <v>0.08</v>
      </c>
      <c r="J263" s="9">
        <v>138000</v>
      </c>
      <c r="K263" s="5" t="s">
        <v>88</v>
      </c>
      <c r="L263" s="5" t="s">
        <v>35</v>
      </c>
      <c r="M263" s="5" t="s">
        <v>25</v>
      </c>
      <c r="N263" s="5" t="s">
        <v>34</v>
      </c>
      <c r="O263" s="1" t="str">
        <f>TEXT(salesdata[[#This Row],[Order_Date]],"mmm")</f>
        <v>Sep</v>
      </c>
      <c r="P263" s="1">
        <f>YEAR(salesdata[[#This Row],[Order_Date]])</f>
        <v>2025</v>
      </c>
      <c r="Q263" s="1" t="str">
        <f t="shared" si="4"/>
        <v>Q3</v>
      </c>
    </row>
    <row r="264" spans="1:17" x14ac:dyDescent="0.3">
      <c r="A264" s="1">
        <v>10263</v>
      </c>
      <c r="B264" s="1" t="s">
        <v>550</v>
      </c>
      <c r="C264" s="1" t="s">
        <v>551</v>
      </c>
      <c r="D264" s="1" t="s">
        <v>42</v>
      </c>
      <c r="E264" s="1" t="s">
        <v>13</v>
      </c>
      <c r="F264" s="1">
        <v>3</v>
      </c>
      <c r="G264" s="7">
        <v>25000</v>
      </c>
      <c r="H264" s="3">
        <v>16</v>
      </c>
      <c r="I264" s="2">
        <f>(salesdata[[#This Row],[Discount]]/100)</f>
        <v>0.16</v>
      </c>
      <c r="J264" s="8">
        <v>63000</v>
      </c>
      <c r="K264" s="4" t="s">
        <v>39</v>
      </c>
      <c r="L264" s="4" t="s">
        <v>98</v>
      </c>
      <c r="M264" s="4" t="s">
        <v>101</v>
      </c>
      <c r="N264" s="4" t="s">
        <v>34</v>
      </c>
      <c r="O264" s="1" t="str">
        <f>TEXT(salesdata[[#This Row],[Order_Date]],"mmm")</f>
        <v>Apr</v>
      </c>
      <c r="P264" s="1">
        <f>YEAR(salesdata[[#This Row],[Order_Date]])</f>
        <v>2025</v>
      </c>
      <c r="Q264" s="1" t="str">
        <f t="shared" si="4"/>
        <v>Q2</v>
      </c>
    </row>
    <row r="265" spans="1:17" x14ac:dyDescent="0.3">
      <c r="A265" s="1">
        <v>10264</v>
      </c>
      <c r="B265" s="1" t="s">
        <v>21</v>
      </c>
      <c r="C265" s="1" t="s">
        <v>552</v>
      </c>
      <c r="D265" s="1" t="s">
        <v>22</v>
      </c>
      <c r="E265" s="1" t="s">
        <v>13</v>
      </c>
      <c r="F265" s="1">
        <v>3</v>
      </c>
      <c r="G265" s="7">
        <v>1200</v>
      </c>
      <c r="H265" s="3">
        <v>10</v>
      </c>
      <c r="I265" s="2">
        <f>(salesdata[[#This Row],[Discount]]/100)</f>
        <v>0.1</v>
      </c>
      <c r="J265" s="9">
        <v>3240</v>
      </c>
      <c r="K265" s="5" t="s">
        <v>37</v>
      </c>
      <c r="L265" s="5" t="s">
        <v>24</v>
      </c>
      <c r="M265" s="5" t="s">
        <v>81</v>
      </c>
      <c r="N265" s="5" t="s">
        <v>31</v>
      </c>
      <c r="O265" s="1" t="str">
        <f>TEXT(salesdata[[#This Row],[Order_Date]],"mmm")</f>
        <v>Apr</v>
      </c>
      <c r="P265" s="1">
        <f>YEAR(salesdata[[#This Row],[Order_Date]])</f>
        <v>2025</v>
      </c>
      <c r="Q265" s="1" t="str">
        <f t="shared" si="4"/>
        <v>Q2</v>
      </c>
    </row>
    <row r="266" spans="1:17" x14ac:dyDescent="0.3">
      <c r="A266" s="1">
        <v>10265</v>
      </c>
      <c r="B266" s="1" t="s">
        <v>46</v>
      </c>
      <c r="C266" s="1" t="s">
        <v>553</v>
      </c>
      <c r="D266" s="1" t="s">
        <v>84</v>
      </c>
      <c r="E266" s="1" t="s">
        <v>28</v>
      </c>
      <c r="F266" s="1">
        <v>5</v>
      </c>
      <c r="G266" s="7">
        <v>15000</v>
      </c>
      <c r="H266" s="3">
        <v>5</v>
      </c>
      <c r="I266" s="2">
        <f>(salesdata[[#This Row],[Discount]]/100)</f>
        <v>0.05</v>
      </c>
      <c r="J266" s="8">
        <v>71250</v>
      </c>
      <c r="K266" s="4" t="s">
        <v>30</v>
      </c>
      <c r="L266" s="4" t="s">
        <v>98</v>
      </c>
      <c r="M266" s="4" t="s">
        <v>44</v>
      </c>
      <c r="N266" s="4" t="s">
        <v>16</v>
      </c>
      <c r="O266" s="1" t="str">
        <f>TEXT(salesdata[[#This Row],[Order_Date]],"mmm")</f>
        <v>Apr</v>
      </c>
      <c r="P266" s="1">
        <f>YEAR(salesdata[[#This Row],[Order_Date]])</f>
        <v>2025</v>
      </c>
      <c r="Q266" s="1" t="str">
        <f t="shared" si="4"/>
        <v>Q2</v>
      </c>
    </row>
    <row r="267" spans="1:17" x14ac:dyDescent="0.3">
      <c r="A267" s="1">
        <v>10266</v>
      </c>
      <c r="B267" s="1" t="s">
        <v>62</v>
      </c>
      <c r="C267" s="1" t="s">
        <v>554</v>
      </c>
      <c r="D267" s="1" t="s">
        <v>12</v>
      </c>
      <c r="E267" s="1" t="s">
        <v>13</v>
      </c>
      <c r="F267" s="1">
        <v>7</v>
      </c>
      <c r="G267" s="7">
        <v>50000</v>
      </c>
      <c r="H267" s="3">
        <v>2</v>
      </c>
      <c r="I267" s="2">
        <f>(salesdata[[#This Row],[Discount]]/100)</f>
        <v>0.02</v>
      </c>
      <c r="J267" s="9">
        <v>343000</v>
      </c>
      <c r="K267" s="5" t="s">
        <v>85</v>
      </c>
      <c r="L267" s="5" t="s">
        <v>35</v>
      </c>
      <c r="M267" s="5" t="s">
        <v>40</v>
      </c>
      <c r="N267" s="5" t="s">
        <v>16</v>
      </c>
      <c r="O267" s="1" t="str">
        <f>TEXT(salesdata[[#This Row],[Order_Date]],"mmm")</f>
        <v>Oct</v>
      </c>
      <c r="P267" s="1">
        <f>YEAR(salesdata[[#This Row],[Order_Date]])</f>
        <v>2025</v>
      </c>
      <c r="Q267" s="1" t="str">
        <f t="shared" si="4"/>
        <v>Q4</v>
      </c>
    </row>
    <row r="268" spans="1:17" x14ac:dyDescent="0.3">
      <c r="A268" s="1">
        <v>10267</v>
      </c>
      <c r="B268" s="1" t="s">
        <v>550</v>
      </c>
      <c r="C268" s="1" t="s">
        <v>555</v>
      </c>
      <c r="D268" s="1" t="s">
        <v>12</v>
      </c>
      <c r="E268" s="1" t="s">
        <v>13</v>
      </c>
      <c r="F268" s="1">
        <v>4</v>
      </c>
      <c r="G268" s="7">
        <v>50000</v>
      </c>
      <c r="H268" s="3">
        <v>7</v>
      </c>
      <c r="I268" s="2">
        <f>(salesdata[[#This Row],[Discount]]/100)</f>
        <v>7.0000000000000007E-2</v>
      </c>
      <c r="J268" s="8">
        <v>186000</v>
      </c>
      <c r="K268" s="4" t="s">
        <v>39</v>
      </c>
      <c r="L268" s="4" t="s">
        <v>35</v>
      </c>
      <c r="M268" s="4" t="s">
        <v>81</v>
      </c>
      <c r="N268" s="4" t="s">
        <v>31</v>
      </c>
      <c r="O268" s="1" t="str">
        <f>TEXT(salesdata[[#This Row],[Order_Date]],"mmm")</f>
        <v>Apr</v>
      </c>
      <c r="P268" s="1">
        <f>YEAR(salesdata[[#This Row],[Order_Date]])</f>
        <v>2025</v>
      </c>
      <c r="Q268" s="1" t="str">
        <f t="shared" si="4"/>
        <v>Q2</v>
      </c>
    </row>
    <row r="269" spans="1:17" x14ac:dyDescent="0.3">
      <c r="A269" s="1">
        <v>10268</v>
      </c>
      <c r="B269" s="1" t="s">
        <v>556</v>
      </c>
      <c r="C269" s="1" t="s">
        <v>557</v>
      </c>
      <c r="D269" s="1" t="s">
        <v>12</v>
      </c>
      <c r="E269" s="1" t="s">
        <v>13</v>
      </c>
      <c r="F269" s="1">
        <v>8</v>
      </c>
      <c r="G269" s="7">
        <v>50000</v>
      </c>
      <c r="H269" s="3">
        <v>9</v>
      </c>
      <c r="I269" s="2">
        <f>(salesdata[[#This Row],[Discount]]/100)</f>
        <v>0.09</v>
      </c>
      <c r="J269" s="9">
        <v>364000</v>
      </c>
      <c r="K269" s="5" t="s">
        <v>88</v>
      </c>
      <c r="L269" s="5" t="s">
        <v>98</v>
      </c>
      <c r="M269" s="5" t="s">
        <v>101</v>
      </c>
      <c r="N269" s="5" t="s">
        <v>31</v>
      </c>
      <c r="O269" s="1" t="str">
        <f>TEXT(salesdata[[#This Row],[Order_Date]],"mmm")</f>
        <v>Jul</v>
      </c>
      <c r="P269" s="1">
        <f>YEAR(salesdata[[#This Row],[Order_Date]])</f>
        <v>2025</v>
      </c>
      <c r="Q269" s="1" t="str">
        <f t="shared" si="4"/>
        <v>Q3</v>
      </c>
    </row>
    <row r="270" spans="1:17" x14ac:dyDescent="0.3">
      <c r="A270" s="1">
        <v>10269</v>
      </c>
      <c r="B270" s="1" t="s">
        <v>74</v>
      </c>
      <c r="C270" s="1" t="s">
        <v>558</v>
      </c>
      <c r="D270" s="1" t="s">
        <v>84</v>
      </c>
      <c r="E270" s="1" t="s">
        <v>28</v>
      </c>
      <c r="F270" s="1">
        <v>2</v>
      </c>
      <c r="G270" s="7">
        <v>15000</v>
      </c>
      <c r="H270" s="3">
        <v>3</v>
      </c>
      <c r="I270" s="2">
        <f>(salesdata[[#This Row],[Discount]]/100)</f>
        <v>0.03</v>
      </c>
      <c r="J270" s="8">
        <v>29100</v>
      </c>
      <c r="K270" s="4" t="s">
        <v>18</v>
      </c>
      <c r="L270" s="4" t="s">
        <v>15</v>
      </c>
      <c r="M270" s="4" t="s">
        <v>160</v>
      </c>
      <c r="N270" s="4" t="s">
        <v>31</v>
      </c>
      <c r="O270" s="1" t="str">
        <f>TEXT(salesdata[[#This Row],[Order_Date]],"mmm")</f>
        <v>Jul</v>
      </c>
      <c r="P270" s="1">
        <f>YEAR(salesdata[[#This Row],[Order_Date]])</f>
        <v>2025</v>
      </c>
      <c r="Q270" s="1" t="str">
        <f t="shared" si="4"/>
        <v>Q3</v>
      </c>
    </row>
    <row r="271" spans="1:17" x14ac:dyDescent="0.3">
      <c r="A271" s="1">
        <v>10270</v>
      </c>
      <c r="B271" s="1" t="s">
        <v>61</v>
      </c>
      <c r="C271" s="1" t="s">
        <v>559</v>
      </c>
      <c r="D271" s="1" t="s">
        <v>29</v>
      </c>
      <c r="E271" s="1" t="s">
        <v>13</v>
      </c>
      <c r="F271" s="1">
        <v>8</v>
      </c>
      <c r="G271" s="7">
        <v>500</v>
      </c>
      <c r="H271" s="3">
        <v>6</v>
      </c>
      <c r="I271" s="2">
        <f>(salesdata[[#This Row],[Discount]]/100)</f>
        <v>0.06</v>
      </c>
      <c r="J271" s="9">
        <v>3760</v>
      </c>
      <c r="K271" s="5" t="s">
        <v>18</v>
      </c>
      <c r="L271" s="5" t="s">
        <v>98</v>
      </c>
      <c r="M271" s="5" t="s">
        <v>19</v>
      </c>
      <c r="N271" s="5" t="s">
        <v>16</v>
      </c>
      <c r="O271" s="1" t="str">
        <f>TEXT(salesdata[[#This Row],[Order_Date]],"mmm")</f>
        <v>Dec</v>
      </c>
      <c r="P271" s="1">
        <f>YEAR(salesdata[[#This Row],[Order_Date]])</f>
        <v>2025</v>
      </c>
      <c r="Q271" s="1" t="str">
        <f t="shared" si="4"/>
        <v>Q4</v>
      </c>
    </row>
    <row r="272" spans="1:17" x14ac:dyDescent="0.3">
      <c r="A272" s="1">
        <v>10271</v>
      </c>
      <c r="B272" s="1" t="s">
        <v>530</v>
      </c>
      <c r="C272" s="1" t="s">
        <v>560</v>
      </c>
      <c r="D272" s="1" t="s">
        <v>32</v>
      </c>
      <c r="E272" s="1" t="s">
        <v>28</v>
      </c>
      <c r="F272" s="1">
        <v>4</v>
      </c>
      <c r="G272" s="7">
        <v>3000</v>
      </c>
      <c r="H272" s="3">
        <v>3</v>
      </c>
      <c r="I272" s="2">
        <f>(salesdata[[#This Row],[Discount]]/100)</f>
        <v>0.03</v>
      </c>
      <c r="J272" s="8">
        <v>11640</v>
      </c>
      <c r="K272" s="4" t="s">
        <v>85</v>
      </c>
      <c r="L272" s="4" t="s">
        <v>91</v>
      </c>
      <c r="M272" s="4" t="s">
        <v>160</v>
      </c>
      <c r="N272" s="4" t="s">
        <v>31</v>
      </c>
      <c r="O272" s="1" t="str">
        <f>TEXT(salesdata[[#This Row],[Order_Date]],"mmm")</f>
        <v>Apr</v>
      </c>
      <c r="P272" s="1">
        <f>YEAR(salesdata[[#This Row],[Order_Date]])</f>
        <v>2025</v>
      </c>
      <c r="Q272" s="1" t="str">
        <f t="shared" si="4"/>
        <v>Q2</v>
      </c>
    </row>
    <row r="273" spans="1:17" x14ac:dyDescent="0.3">
      <c r="A273" s="1">
        <v>10272</v>
      </c>
      <c r="B273" s="1" t="s">
        <v>68</v>
      </c>
      <c r="C273" s="1" t="s">
        <v>561</v>
      </c>
      <c r="D273" s="1" t="s">
        <v>119</v>
      </c>
      <c r="E273" s="1" t="s">
        <v>13</v>
      </c>
      <c r="F273" s="1">
        <v>3</v>
      </c>
      <c r="G273" s="7">
        <v>5000</v>
      </c>
      <c r="H273" s="3">
        <v>5</v>
      </c>
      <c r="I273" s="2">
        <f>(salesdata[[#This Row],[Discount]]/100)</f>
        <v>0.05</v>
      </c>
      <c r="J273" s="9">
        <v>14250</v>
      </c>
      <c r="K273" s="5" t="s">
        <v>39</v>
      </c>
      <c r="L273" s="5" t="s">
        <v>24</v>
      </c>
      <c r="M273" s="5" t="s">
        <v>25</v>
      </c>
      <c r="N273" s="5" t="s">
        <v>20</v>
      </c>
      <c r="O273" s="1" t="str">
        <f>TEXT(salesdata[[#This Row],[Order_Date]],"mmm")</f>
        <v>Nov</v>
      </c>
      <c r="P273" s="1">
        <f>YEAR(salesdata[[#This Row],[Order_Date]])</f>
        <v>2025</v>
      </c>
      <c r="Q273" s="1" t="str">
        <f t="shared" si="4"/>
        <v>Q4</v>
      </c>
    </row>
    <row r="274" spans="1:17" x14ac:dyDescent="0.3">
      <c r="A274" s="1">
        <v>10273</v>
      </c>
      <c r="B274" s="1" t="s">
        <v>545</v>
      </c>
      <c r="C274" s="1" t="s">
        <v>562</v>
      </c>
      <c r="D274" s="1" t="s">
        <v>27</v>
      </c>
      <c r="E274" s="1" t="s">
        <v>28</v>
      </c>
      <c r="F274" s="1">
        <v>2</v>
      </c>
      <c r="G274" s="7">
        <v>7000</v>
      </c>
      <c r="H274" s="3">
        <v>5</v>
      </c>
      <c r="I274" s="2">
        <f>(salesdata[[#This Row],[Discount]]/100)</f>
        <v>0.05</v>
      </c>
      <c r="J274" s="8">
        <v>13300</v>
      </c>
      <c r="K274" s="4" t="s">
        <v>14</v>
      </c>
      <c r="L274" s="4" t="s">
        <v>98</v>
      </c>
      <c r="M274" s="4" t="s">
        <v>19</v>
      </c>
      <c r="N274" s="4" t="s">
        <v>34</v>
      </c>
      <c r="O274" s="1" t="str">
        <f>TEXT(salesdata[[#This Row],[Order_Date]],"mmm")</f>
        <v>Apr</v>
      </c>
      <c r="P274" s="1">
        <f>YEAR(salesdata[[#This Row],[Order_Date]])</f>
        <v>2025</v>
      </c>
      <c r="Q274" s="1" t="str">
        <f t="shared" si="4"/>
        <v>Q2</v>
      </c>
    </row>
    <row r="275" spans="1:17" x14ac:dyDescent="0.3">
      <c r="A275" s="1">
        <v>10274</v>
      </c>
      <c r="B275" s="1" t="s">
        <v>45</v>
      </c>
      <c r="C275" s="1" t="s">
        <v>430</v>
      </c>
      <c r="D275" s="1" t="s">
        <v>22</v>
      </c>
      <c r="E275" s="1" t="s">
        <v>13</v>
      </c>
      <c r="F275" s="1">
        <v>2</v>
      </c>
      <c r="G275" s="7">
        <v>1200</v>
      </c>
      <c r="H275" s="3">
        <v>12</v>
      </c>
      <c r="I275" s="2">
        <f>(salesdata[[#This Row],[Discount]]/100)</f>
        <v>0.12</v>
      </c>
      <c r="J275" s="9">
        <v>2112</v>
      </c>
      <c r="K275" s="5" t="s">
        <v>85</v>
      </c>
      <c r="L275" s="5" t="s">
        <v>35</v>
      </c>
      <c r="M275" s="5" t="s">
        <v>33</v>
      </c>
      <c r="N275" s="5" t="s">
        <v>16</v>
      </c>
      <c r="O275" s="1" t="str">
        <f>TEXT(salesdata[[#This Row],[Order_Date]],"mmm")</f>
        <v>Nov</v>
      </c>
      <c r="P275" s="1">
        <f>YEAR(salesdata[[#This Row],[Order_Date]])</f>
        <v>2025</v>
      </c>
      <c r="Q275" s="1" t="str">
        <f t="shared" si="4"/>
        <v>Q4</v>
      </c>
    </row>
    <row r="276" spans="1:17" x14ac:dyDescent="0.3">
      <c r="A276" s="1">
        <v>10275</v>
      </c>
      <c r="B276" s="1" t="s">
        <v>563</v>
      </c>
      <c r="C276" s="1" t="s">
        <v>564</v>
      </c>
      <c r="D276" s="1" t="s">
        <v>22</v>
      </c>
      <c r="E276" s="1" t="s">
        <v>13</v>
      </c>
      <c r="F276" s="1">
        <v>7</v>
      </c>
      <c r="G276" s="7">
        <v>1200</v>
      </c>
      <c r="H276" s="3">
        <v>4</v>
      </c>
      <c r="I276" s="2">
        <f>(salesdata[[#This Row],[Discount]]/100)</f>
        <v>0.04</v>
      </c>
      <c r="J276" s="8">
        <v>8064</v>
      </c>
      <c r="K276" s="4" t="s">
        <v>30</v>
      </c>
      <c r="L276" s="4" t="s">
        <v>24</v>
      </c>
      <c r="M276" s="4" t="s">
        <v>19</v>
      </c>
      <c r="N276" s="4" t="s">
        <v>34</v>
      </c>
      <c r="O276" s="1" t="str">
        <f>TEXT(salesdata[[#This Row],[Order_Date]],"mmm")</f>
        <v>Nov</v>
      </c>
      <c r="P276" s="1">
        <f>YEAR(salesdata[[#This Row],[Order_Date]])</f>
        <v>2025</v>
      </c>
      <c r="Q276" s="1" t="str">
        <f t="shared" si="4"/>
        <v>Q4</v>
      </c>
    </row>
    <row r="277" spans="1:17" x14ac:dyDescent="0.3">
      <c r="A277" s="1">
        <v>10276</v>
      </c>
      <c r="B277" s="1" t="s">
        <v>565</v>
      </c>
      <c r="C277" s="1" t="s">
        <v>566</v>
      </c>
      <c r="D277" s="1" t="s">
        <v>119</v>
      </c>
      <c r="E277" s="1" t="s">
        <v>13</v>
      </c>
      <c r="F277" s="1">
        <v>6</v>
      </c>
      <c r="G277" s="7">
        <v>5000</v>
      </c>
      <c r="H277" s="3">
        <v>6</v>
      </c>
      <c r="I277" s="2">
        <f>(salesdata[[#This Row],[Discount]]/100)</f>
        <v>0.06</v>
      </c>
      <c r="J277" s="9">
        <v>28200</v>
      </c>
      <c r="K277" s="5" t="s">
        <v>88</v>
      </c>
      <c r="L277" s="5" t="s">
        <v>24</v>
      </c>
      <c r="M277" s="5" t="s">
        <v>44</v>
      </c>
      <c r="N277" s="5" t="s">
        <v>16</v>
      </c>
      <c r="O277" s="1" t="str">
        <f>TEXT(salesdata[[#This Row],[Order_Date]],"mmm")</f>
        <v>Jul</v>
      </c>
      <c r="P277" s="1">
        <f>YEAR(salesdata[[#This Row],[Order_Date]])</f>
        <v>2025</v>
      </c>
      <c r="Q277" s="1" t="str">
        <f t="shared" si="4"/>
        <v>Q3</v>
      </c>
    </row>
    <row r="278" spans="1:17" x14ac:dyDescent="0.3">
      <c r="A278" s="1">
        <v>10277</v>
      </c>
      <c r="B278" s="1" t="s">
        <v>567</v>
      </c>
      <c r="C278" s="1" t="s">
        <v>568</v>
      </c>
      <c r="D278" s="1" t="s">
        <v>12</v>
      </c>
      <c r="E278" s="1" t="s">
        <v>13</v>
      </c>
      <c r="F278" s="1">
        <v>9</v>
      </c>
      <c r="G278" s="7">
        <v>50000</v>
      </c>
      <c r="H278" s="3">
        <v>7</v>
      </c>
      <c r="I278" s="2">
        <f>(salesdata[[#This Row],[Discount]]/100)</f>
        <v>7.0000000000000007E-2</v>
      </c>
      <c r="J278" s="8">
        <v>418500</v>
      </c>
      <c r="K278" s="4" t="s">
        <v>18</v>
      </c>
      <c r="L278" s="4" t="s">
        <v>98</v>
      </c>
      <c r="M278" s="4" t="s">
        <v>40</v>
      </c>
      <c r="N278" s="4" t="s">
        <v>20</v>
      </c>
      <c r="O278" s="1" t="str">
        <f>TEXT(salesdata[[#This Row],[Order_Date]],"mmm")</f>
        <v>Oct</v>
      </c>
      <c r="P278" s="1">
        <f>YEAR(salesdata[[#This Row],[Order_Date]])</f>
        <v>2025</v>
      </c>
      <c r="Q278" s="1" t="str">
        <f t="shared" si="4"/>
        <v>Q4</v>
      </c>
    </row>
    <row r="279" spans="1:17" x14ac:dyDescent="0.3">
      <c r="A279" s="1">
        <v>10278</v>
      </c>
      <c r="B279" s="1" t="s">
        <v>48</v>
      </c>
      <c r="C279" s="1" t="s">
        <v>569</v>
      </c>
      <c r="D279" s="1" t="s">
        <v>27</v>
      </c>
      <c r="E279" s="1" t="s">
        <v>28</v>
      </c>
      <c r="F279" s="1">
        <v>10</v>
      </c>
      <c r="G279" s="7">
        <v>7000</v>
      </c>
      <c r="H279" s="3">
        <v>17</v>
      </c>
      <c r="I279" s="2">
        <f>(salesdata[[#This Row],[Discount]]/100)</f>
        <v>0.17</v>
      </c>
      <c r="J279" s="9">
        <v>58100</v>
      </c>
      <c r="K279" s="5" t="s">
        <v>85</v>
      </c>
      <c r="L279" s="5" t="s">
        <v>15</v>
      </c>
      <c r="M279" s="5" t="s">
        <v>44</v>
      </c>
      <c r="N279" s="5" t="s">
        <v>16</v>
      </c>
      <c r="O279" s="1" t="str">
        <f>TEXT(salesdata[[#This Row],[Order_Date]],"mmm")</f>
        <v>Dec</v>
      </c>
      <c r="P279" s="1">
        <f>YEAR(salesdata[[#This Row],[Order_Date]])</f>
        <v>2025</v>
      </c>
      <c r="Q279" s="1" t="str">
        <f t="shared" si="4"/>
        <v>Q4</v>
      </c>
    </row>
    <row r="280" spans="1:17" x14ac:dyDescent="0.3">
      <c r="A280" s="1">
        <v>10279</v>
      </c>
      <c r="B280" s="1" t="s">
        <v>570</v>
      </c>
      <c r="C280" s="1" t="s">
        <v>571</v>
      </c>
      <c r="D280" s="1" t="s">
        <v>84</v>
      </c>
      <c r="E280" s="1" t="s">
        <v>28</v>
      </c>
      <c r="F280" s="1">
        <v>9</v>
      </c>
      <c r="G280" s="7">
        <v>15000</v>
      </c>
      <c r="H280" s="3">
        <v>15</v>
      </c>
      <c r="I280" s="2">
        <f>(salesdata[[#This Row],[Discount]]/100)</f>
        <v>0.15</v>
      </c>
      <c r="J280" s="8">
        <v>114750</v>
      </c>
      <c r="K280" s="4" t="s">
        <v>30</v>
      </c>
      <c r="L280" s="4" t="s">
        <v>91</v>
      </c>
      <c r="M280" s="4" t="s">
        <v>101</v>
      </c>
      <c r="N280" s="4" t="s">
        <v>20</v>
      </c>
      <c r="O280" s="1" t="str">
        <f>TEXT(salesdata[[#This Row],[Order_Date]],"mmm")</f>
        <v>Aug</v>
      </c>
      <c r="P280" s="1">
        <f>YEAR(salesdata[[#This Row],[Order_Date]])</f>
        <v>2025</v>
      </c>
      <c r="Q280" s="1" t="str">
        <f t="shared" si="4"/>
        <v>Q3</v>
      </c>
    </row>
    <row r="281" spans="1:17" x14ac:dyDescent="0.3">
      <c r="A281" s="1">
        <v>10280</v>
      </c>
      <c r="B281" s="1" t="s">
        <v>572</v>
      </c>
      <c r="C281" s="1" t="s">
        <v>573</v>
      </c>
      <c r="D281" s="1" t="s">
        <v>119</v>
      </c>
      <c r="E281" s="1" t="s">
        <v>13</v>
      </c>
      <c r="F281" s="1">
        <v>10</v>
      </c>
      <c r="G281" s="7">
        <v>5000</v>
      </c>
      <c r="H281" s="3">
        <v>11</v>
      </c>
      <c r="I281" s="2">
        <f>(salesdata[[#This Row],[Discount]]/100)</f>
        <v>0.11</v>
      </c>
      <c r="J281" s="9">
        <v>44500</v>
      </c>
      <c r="K281" s="5" t="s">
        <v>23</v>
      </c>
      <c r="L281" s="5" t="s">
        <v>91</v>
      </c>
      <c r="M281" s="5" t="s">
        <v>160</v>
      </c>
      <c r="N281" s="5" t="s">
        <v>34</v>
      </c>
      <c r="O281" s="1" t="str">
        <f>TEXT(salesdata[[#This Row],[Order_Date]],"mmm")</f>
        <v>Jul</v>
      </c>
      <c r="P281" s="1">
        <f>YEAR(salesdata[[#This Row],[Order_Date]])</f>
        <v>2025</v>
      </c>
      <c r="Q281" s="1" t="str">
        <f t="shared" si="4"/>
        <v>Q3</v>
      </c>
    </row>
    <row r="282" spans="1:17" x14ac:dyDescent="0.3">
      <c r="A282" s="1">
        <v>10281</v>
      </c>
      <c r="B282" s="1" t="s">
        <v>499</v>
      </c>
      <c r="C282" s="1" t="s">
        <v>574</v>
      </c>
      <c r="D282" s="1" t="s">
        <v>36</v>
      </c>
      <c r="E282" s="1" t="s">
        <v>13</v>
      </c>
      <c r="F282" s="1">
        <v>1</v>
      </c>
      <c r="G282" s="7">
        <v>8000</v>
      </c>
      <c r="H282" s="3">
        <v>8</v>
      </c>
      <c r="I282" s="2">
        <f>(salesdata[[#This Row],[Discount]]/100)</f>
        <v>0.08</v>
      </c>
      <c r="J282" s="8">
        <v>7360</v>
      </c>
      <c r="K282" s="4" t="s">
        <v>30</v>
      </c>
      <c r="L282" s="4" t="s">
        <v>15</v>
      </c>
      <c r="M282" s="4" t="s">
        <v>160</v>
      </c>
      <c r="N282" s="4" t="s">
        <v>31</v>
      </c>
      <c r="O282" s="1" t="str">
        <f>TEXT(salesdata[[#This Row],[Order_Date]],"mmm")</f>
        <v>Jul</v>
      </c>
      <c r="P282" s="1">
        <f>YEAR(salesdata[[#This Row],[Order_Date]])</f>
        <v>2025</v>
      </c>
      <c r="Q282" s="1" t="str">
        <f t="shared" si="4"/>
        <v>Q3</v>
      </c>
    </row>
    <row r="283" spans="1:17" x14ac:dyDescent="0.3">
      <c r="A283" s="1">
        <v>10282</v>
      </c>
      <c r="B283" s="1" t="s">
        <v>71</v>
      </c>
      <c r="C283" s="1" t="s">
        <v>575</v>
      </c>
      <c r="D283" s="1" t="s">
        <v>42</v>
      </c>
      <c r="E283" s="1" t="s">
        <v>13</v>
      </c>
      <c r="F283" s="1">
        <v>4</v>
      </c>
      <c r="G283" s="7">
        <v>25000</v>
      </c>
      <c r="H283" s="3">
        <v>10</v>
      </c>
      <c r="I283" s="2">
        <f>(salesdata[[#This Row],[Discount]]/100)</f>
        <v>0.1</v>
      </c>
      <c r="J283" s="9">
        <v>90000</v>
      </c>
      <c r="K283" s="5" t="s">
        <v>37</v>
      </c>
      <c r="L283" s="5" t="s">
        <v>98</v>
      </c>
      <c r="M283" s="5" t="s">
        <v>44</v>
      </c>
      <c r="N283" s="5" t="s">
        <v>31</v>
      </c>
      <c r="O283" s="1" t="str">
        <f>TEXT(salesdata[[#This Row],[Order_Date]],"mmm")</f>
        <v>Feb</v>
      </c>
      <c r="P283" s="1">
        <f>YEAR(salesdata[[#This Row],[Order_Date]])</f>
        <v>2025</v>
      </c>
      <c r="Q283" s="1" t="str">
        <f t="shared" si="4"/>
        <v>Q1</v>
      </c>
    </row>
    <row r="284" spans="1:17" x14ac:dyDescent="0.3">
      <c r="A284" s="1">
        <v>10283</v>
      </c>
      <c r="B284" s="1" t="s">
        <v>475</v>
      </c>
      <c r="C284" s="1" t="s">
        <v>576</v>
      </c>
      <c r="D284" s="1" t="s">
        <v>17</v>
      </c>
      <c r="E284" s="1" t="s">
        <v>13</v>
      </c>
      <c r="F284" s="1">
        <v>9</v>
      </c>
      <c r="G284" s="7">
        <v>2000</v>
      </c>
      <c r="H284" s="3">
        <v>7</v>
      </c>
      <c r="I284" s="2">
        <f>(salesdata[[#This Row],[Discount]]/100)</f>
        <v>7.0000000000000007E-2</v>
      </c>
      <c r="J284" s="8">
        <v>16740</v>
      </c>
      <c r="K284" s="4" t="s">
        <v>23</v>
      </c>
      <c r="L284" s="4" t="s">
        <v>91</v>
      </c>
      <c r="M284" s="4" t="s">
        <v>19</v>
      </c>
      <c r="N284" s="4" t="s">
        <v>34</v>
      </c>
      <c r="O284" s="1" t="str">
        <f>TEXT(salesdata[[#This Row],[Order_Date]],"mmm")</f>
        <v>Feb</v>
      </c>
      <c r="P284" s="1">
        <f>YEAR(salesdata[[#This Row],[Order_Date]])</f>
        <v>2025</v>
      </c>
      <c r="Q284" s="1" t="str">
        <f t="shared" si="4"/>
        <v>Q1</v>
      </c>
    </row>
    <row r="285" spans="1:17" x14ac:dyDescent="0.3">
      <c r="A285" s="1">
        <v>10284</v>
      </c>
      <c r="B285" s="1" t="s">
        <v>577</v>
      </c>
      <c r="C285" s="1" t="s">
        <v>578</v>
      </c>
      <c r="D285" s="1" t="s">
        <v>27</v>
      </c>
      <c r="E285" s="1" t="s">
        <v>28</v>
      </c>
      <c r="F285" s="1">
        <v>6</v>
      </c>
      <c r="G285" s="7">
        <v>7000</v>
      </c>
      <c r="H285" s="3">
        <v>13</v>
      </c>
      <c r="I285" s="2">
        <f>(salesdata[[#This Row],[Discount]]/100)</f>
        <v>0.13</v>
      </c>
      <c r="J285" s="9">
        <v>36540</v>
      </c>
      <c r="K285" s="5" t="s">
        <v>37</v>
      </c>
      <c r="L285" s="5" t="s">
        <v>98</v>
      </c>
      <c r="M285" s="5" t="s">
        <v>160</v>
      </c>
      <c r="N285" s="5" t="s">
        <v>16</v>
      </c>
      <c r="O285" s="1" t="str">
        <f>TEXT(salesdata[[#This Row],[Order_Date]],"mmm")</f>
        <v>Jan</v>
      </c>
      <c r="P285" s="1">
        <f>YEAR(salesdata[[#This Row],[Order_Date]])</f>
        <v>2025</v>
      </c>
      <c r="Q285" s="1" t="str">
        <f t="shared" si="4"/>
        <v>Q1</v>
      </c>
    </row>
    <row r="286" spans="1:17" x14ac:dyDescent="0.3">
      <c r="A286" s="1">
        <v>10285</v>
      </c>
      <c r="B286" s="1" t="s">
        <v>41</v>
      </c>
      <c r="C286" s="1" t="s">
        <v>579</v>
      </c>
      <c r="D286" s="1" t="s">
        <v>36</v>
      </c>
      <c r="E286" s="1" t="s">
        <v>13</v>
      </c>
      <c r="F286" s="1">
        <v>8</v>
      </c>
      <c r="G286" s="7">
        <v>8000</v>
      </c>
      <c r="H286" s="3">
        <v>0</v>
      </c>
      <c r="I286" s="2">
        <f>(salesdata[[#This Row],[Discount]]/100)</f>
        <v>0</v>
      </c>
      <c r="J286" s="8">
        <v>64000</v>
      </c>
      <c r="K286" s="4" t="s">
        <v>30</v>
      </c>
      <c r="L286" s="4" t="s">
        <v>15</v>
      </c>
      <c r="M286" s="4" t="s">
        <v>44</v>
      </c>
      <c r="N286" s="4" t="s">
        <v>20</v>
      </c>
      <c r="O286" s="1" t="str">
        <f>TEXT(salesdata[[#This Row],[Order_Date]],"mmm")</f>
        <v>Sep</v>
      </c>
      <c r="P286" s="1">
        <f>YEAR(salesdata[[#This Row],[Order_Date]])</f>
        <v>2025</v>
      </c>
      <c r="Q286" s="1" t="str">
        <f t="shared" si="4"/>
        <v>Q3</v>
      </c>
    </row>
    <row r="287" spans="1:17" x14ac:dyDescent="0.3">
      <c r="A287" s="1">
        <v>10286</v>
      </c>
      <c r="B287" s="1" t="s">
        <v>580</v>
      </c>
      <c r="C287" s="1" t="s">
        <v>581</v>
      </c>
      <c r="D287" s="1" t="s">
        <v>32</v>
      </c>
      <c r="E287" s="1" t="s">
        <v>28</v>
      </c>
      <c r="F287" s="1">
        <v>3</v>
      </c>
      <c r="G287" s="7">
        <v>3000</v>
      </c>
      <c r="H287" s="3">
        <v>5</v>
      </c>
      <c r="I287" s="2">
        <f>(salesdata[[#This Row],[Discount]]/100)</f>
        <v>0.05</v>
      </c>
      <c r="J287" s="9">
        <v>8550</v>
      </c>
      <c r="K287" s="5" t="s">
        <v>30</v>
      </c>
      <c r="L287" s="5" t="s">
        <v>24</v>
      </c>
      <c r="M287" s="5" t="s">
        <v>33</v>
      </c>
      <c r="N287" s="5" t="s">
        <v>31</v>
      </c>
      <c r="O287" s="1" t="str">
        <f>TEXT(salesdata[[#This Row],[Order_Date]],"mmm")</f>
        <v>Nov</v>
      </c>
      <c r="P287" s="1">
        <f>YEAR(salesdata[[#This Row],[Order_Date]])</f>
        <v>2025</v>
      </c>
      <c r="Q287" s="1" t="str">
        <f t="shared" si="4"/>
        <v>Q4</v>
      </c>
    </row>
    <row r="288" spans="1:17" x14ac:dyDescent="0.3">
      <c r="A288" s="1">
        <v>10287</v>
      </c>
      <c r="B288" s="1" t="s">
        <v>55</v>
      </c>
      <c r="C288" s="1" t="s">
        <v>582</v>
      </c>
      <c r="D288" s="1" t="s">
        <v>12</v>
      </c>
      <c r="E288" s="1" t="s">
        <v>13</v>
      </c>
      <c r="F288" s="1">
        <v>1</v>
      </c>
      <c r="G288" s="7">
        <v>50000</v>
      </c>
      <c r="H288" s="3">
        <v>9</v>
      </c>
      <c r="I288" s="2">
        <f>(salesdata[[#This Row],[Discount]]/100)</f>
        <v>0.09</v>
      </c>
      <c r="J288" s="8">
        <v>45500</v>
      </c>
      <c r="K288" s="4" t="s">
        <v>37</v>
      </c>
      <c r="L288" s="4" t="s">
        <v>98</v>
      </c>
      <c r="M288" s="4" t="s">
        <v>25</v>
      </c>
      <c r="N288" s="4" t="s">
        <v>31</v>
      </c>
      <c r="O288" s="1" t="str">
        <f>TEXT(salesdata[[#This Row],[Order_Date]],"mmm")</f>
        <v>Jul</v>
      </c>
      <c r="P288" s="1">
        <f>YEAR(salesdata[[#This Row],[Order_Date]])</f>
        <v>2025</v>
      </c>
      <c r="Q288" s="1" t="str">
        <f t="shared" si="4"/>
        <v>Q3</v>
      </c>
    </row>
    <row r="289" spans="1:17" x14ac:dyDescent="0.3">
      <c r="A289" s="1">
        <v>10288</v>
      </c>
      <c r="B289" s="1" t="s">
        <v>52</v>
      </c>
      <c r="C289" s="1" t="s">
        <v>583</v>
      </c>
      <c r="D289" s="1" t="s">
        <v>36</v>
      </c>
      <c r="E289" s="1" t="s">
        <v>13</v>
      </c>
      <c r="F289" s="1">
        <v>4</v>
      </c>
      <c r="G289" s="7">
        <v>8000</v>
      </c>
      <c r="H289" s="3">
        <v>10</v>
      </c>
      <c r="I289" s="2">
        <f>(salesdata[[#This Row],[Discount]]/100)</f>
        <v>0.1</v>
      </c>
      <c r="J289" s="9">
        <v>28800</v>
      </c>
      <c r="K289" s="5" t="s">
        <v>23</v>
      </c>
      <c r="L289" s="5" t="s">
        <v>98</v>
      </c>
      <c r="M289" s="5" t="s">
        <v>81</v>
      </c>
      <c r="N289" s="5" t="s">
        <v>31</v>
      </c>
      <c r="O289" s="1" t="str">
        <f>TEXT(salesdata[[#This Row],[Order_Date]],"mmm")</f>
        <v>May</v>
      </c>
      <c r="P289" s="1">
        <f>YEAR(salesdata[[#This Row],[Order_Date]])</f>
        <v>2025</v>
      </c>
      <c r="Q289" s="1" t="str">
        <f t="shared" si="4"/>
        <v>Q2</v>
      </c>
    </row>
    <row r="290" spans="1:17" x14ac:dyDescent="0.3">
      <c r="A290" s="1">
        <v>10289</v>
      </c>
      <c r="B290" s="1" t="s">
        <v>584</v>
      </c>
      <c r="C290" s="1" t="s">
        <v>585</v>
      </c>
      <c r="D290" s="1" t="s">
        <v>36</v>
      </c>
      <c r="E290" s="1" t="s">
        <v>13</v>
      </c>
      <c r="F290" s="1">
        <v>1</v>
      </c>
      <c r="G290" s="7">
        <v>8000</v>
      </c>
      <c r="H290" s="3">
        <v>19</v>
      </c>
      <c r="I290" s="2">
        <f>(salesdata[[#This Row],[Discount]]/100)</f>
        <v>0.19</v>
      </c>
      <c r="J290" s="8">
        <v>6480</v>
      </c>
      <c r="K290" s="4" t="s">
        <v>30</v>
      </c>
      <c r="L290" s="4" t="s">
        <v>98</v>
      </c>
      <c r="M290" s="4" t="s">
        <v>25</v>
      </c>
      <c r="N290" s="4" t="s">
        <v>31</v>
      </c>
      <c r="O290" s="1" t="str">
        <f>TEXT(salesdata[[#This Row],[Order_Date]],"mmm")</f>
        <v>Feb</v>
      </c>
      <c r="P290" s="1">
        <f>YEAR(salesdata[[#This Row],[Order_Date]])</f>
        <v>2025</v>
      </c>
      <c r="Q290" s="1" t="str">
        <f t="shared" si="4"/>
        <v>Q1</v>
      </c>
    </row>
    <row r="291" spans="1:17" x14ac:dyDescent="0.3">
      <c r="A291" s="1">
        <v>10290</v>
      </c>
      <c r="B291" s="1" t="s">
        <v>586</v>
      </c>
      <c r="C291" s="1" t="s">
        <v>587</v>
      </c>
      <c r="D291" s="1" t="s">
        <v>32</v>
      </c>
      <c r="E291" s="1" t="s">
        <v>28</v>
      </c>
      <c r="F291" s="1">
        <v>6</v>
      </c>
      <c r="G291" s="7">
        <v>3000</v>
      </c>
      <c r="H291" s="3">
        <v>8</v>
      </c>
      <c r="I291" s="2">
        <f>(salesdata[[#This Row],[Discount]]/100)</f>
        <v>0.08</v>
      </c>
      <c r="J291" s="9">
        <v>16560</v>
      </c>
      <c r="K291" s="5" t="s">
        <v>14</v>
      </c>
      <c r="L291" s="5" t="s">
        <v>91</v>
      </c>
      <c r="M291" s="5" t="s">
        <v>25</v>
      </c>
      <c r="N291" s="5" t="s">
        <v>16</v>
      </c>
      <c r="O291" s="1" t="str">
        <f>TEXT(salesdata[[#This Row],[Order_Date]],"mmm")</f>
        <v>Jul</v>
      </c>
      <c r="P291" s="1">
        <f>YEAR(salesdata[[#This Row],[Order_Date]])</f>
        <v>2025</v>
      </c>
      <c r="Q291" s="1" t="str">
        <f t="shared" si="4"/>
        <v>Q3</v>
      </c>
    </row>
    <row r="292" spans="1:17" x14ac:dyDescent="0.3">
      <c r="A292" s="1">
        <v>10291</v>
      </c>
      <c r="B292" s="1" t="s">
        <v>505</v>
      </c>
      <c r="C292" s="1" t="s">
        <v>588</v>
      </c>
      <c r="D292" s="1" t="s">
        <v>27</v>
      </c>
      <c r="E292" s="1" t="s">
        <v>28</v>
      </c>
      <c r="F292" s="1">
        <v>5</v>
      </c>
      <c r="G292" s="7">
        <v>7000</v>
      </c>
      <c r="H292" s="3">
        <v>19</v>
      </c>
      <c r="I292" s="2">
        <f>(salesdata[[#This Row],[Discount]]/100)</f>
        <v>0.19</v>
      </c>
      <c r="J292" s="8">
        <v>28350</v>
      </c>
      <c r="K292" s="4" t="s">
        <v>23</v>
      </c>
      <c r="L292" s="4" t="s">
        <v>24</v>
      </c>
      <c r="M292" s="4" t="s">
        <v>19</v>
      </c>
      <c r="N292" s="4" t="s">
        <v>34</v>
      </c>
      <c r="O292" s="1" t="str">
        <f>TEXT(salesdata[[#This Row],[Order_Date]],"mmm")</f>
        <v>Dec</v>
      </c>
      <c r="P292" s="1">
        <f>YEAR(salesdata[[#This Row],[Order_Date]])</f>
        <v>2025</v>
      </c>
      <c r="Q292" s="1" t="str">
        <f t="shared" si="4"/>
        <v>Q4</v>
      </c>
    </row>
    <row r="293" spans="1:17" x14ac:dyDescent="0.3">
      <c r="A293" s="1">
        <v>10292</v>
      </c>
      <c r="B293" s="1" t="s">
        <v>589</v>
      </c>
      <c r="C293" s="1" t="s">
        <v>590</v>
      </c>
      <c r="D293" s="1" t="s">
        <v>36</v>
      </c>
      <c r="E293" s="1" t="s">
        <v>13</v>
      </c>
      <c r="F293" s="1">
        <v>8</v>
      </c>
      <c r="G293" s="7">
        <v>8000</v>
      </c>
      <c r="H293" s="3">
        <v>18</v>
      </c>
      <c r="I293" s="2">
        <f>(salesdata[[#This Row],[Discount]]/100)</f>
        <v>0.18</v>
      </c>
      <c r="J293" s="9">
        <v>52480</v>
      </c>
      <c r="K293" s="5" t="s">
        <v>30</v>
      </c>
      <c r="L293" s="5" t="s">
        <v>24</v>
      </c>
      <c r="M293" s="5" t="s">
        <v>19</v>
      </c>
      <c r="N293" s="5" t="s">
        <v>34</v>
      </c>
      <c r="O293" s="1" t="str">
        <f>TEXT(salesdata[[#This Row],[Order_Date]],"mmm")</f>
        <v>Jun</v>
      </c>
      <c r="P293" s="1">
        <f>YEAR(salesdata[[#This Row],[Order_Date]])</f>
        <v>2025</v>
      </c>
      <c r="Q293" s="1" t="str">
        <f t="shared" si="4"/>
        <v>Q2</v>
      </c>
    </row>
    <row r="294" spans="1:17" x14ac:dyDescent="0.3">
      <c r="A294" s="1">
        <v>10293</v>
      </c>
      <c r="B294" s="1" t="s">
        <v>591</v>
      </c>
      <c r="C294" s="1" t="s">
        <v>592</v>
      </c>
      <c r="D294" s="1" t="s">
        <v>12</v>
      </c>
      <c r="E294" s="1" t="s">
        <v>13</v>
      </c>
      <c r="F294" s="1">
        <v>9</v>
      </c>
      <c r="G294" s="7">
        <v>50000</v>
      </c>
      <c r="H294" s="3">
        <v>15</v>
      </c>
      <c r="I294" s="2">
        <f>(salesdata[[#This Row],[Discount]]/100)</f>
        <v>0.15</v>
      </c>
      <c r="J294" s="8">
        <v>382500</v>
      </c>
      <c r="K294" s="4" t="s">
        <v>88</v>
      </c>
      <c r="L294" s="4" t="s">
        <v>24</v>
      </c>
      <c r="M294" s="4" t="s">
        <v>160</v>
      </c>
      <c r="N294" s="4" t="s">
        <v>20</v>
      </c>
      <c r="O294" s="1" t="str">
        <f>TEXT(salesdata[[#This Row],[Order_Date]],"mmm")</f>
        <v>May</v>
      </c>
      <c r="P294" s="1">
        <f>YEAR(salesdata[[#This Row],[Order_Date]])</f>
        <v>2025</v>
      </c>
      <c r="Q294" s="1" t="str">
        <f t="shared" si="4"/>
        <v>Q2</v>
      </c>
    </row>
    <row r="295" spans="1:17" x14ac:dyDescent="0.3">
      <c r="A295" s="1">
        <v>10294</v>
      </c>
      <c r="B295" s="1" t="s">
        <v>593</v>
      </c>
      <c r="C295" s="1" t="s">
        <v>594</v>
      </c>
      <c r="D295" s="1" t="s">
        <v>27</v>
      </c>
      <c r="E295" s="1" t="s">
        <v>28</v>
      </c>
      <c r="F295" s="1">
        <v>6</v>
      </c>
      <c r="G295" s="7">
        <v>7000</v>
      </c>
      <c r="H295" s="3">
        <v>14</v>
      </c>
      <c r="I295" s="2">
        <f>(salesdata[[#This Row],[Discount]]/100)</f>
        <v>0.14000000000000001</v>
      </c>
      <c r="J295" s="9">
        <v>36120</v>
      </c>
      <c r="K295" s="5" t="s">
        <v>85</v>
      </c>
      <c r="L295" s="5" t="s">
        <v>91</v>
      </c>
      <c r="M295" s="5" t="s">
        <v>19</v>
      </c>
      <c r="N295" s="5" t="s">
        <v>34</v>
      </c>
      <c r="O295" s="1" t="str">
        <f>TEXT(salesdata[[#This Row],[Order_Date]],"mmm")</f>
        <v>Jun</v>
      </c>
      <c r="P295" s="1">
        <f>YEAR(salesdata[[#This Row],[Order_Date]])</f>
        <v>2025</v>
      </c>
      <c r="Q295" s="1" t="str">
        <f t="shared" si="4"/>
        <v>Q2</v>
      </c>
    </row>
    <row r="296" spans="1:17" x14ac:dyDescent="0.3">
      <c r="A296" s="1">
        <v>10295</v>
      </c>
      <c r="B296" s="1" t="s">
        <v>69</v>
      </c>
      <c r="C296" s="1" t="s">
        <v>595</v>
      </c>
      <c r="D296" s="1" t="s">
        <v>29</v>
      </c>
      <c r="E296" s="1" t="s">
        <v>13</v>
      </c>
      <c r="F296" s="1">
        <v>5</v>
      </c>
      <c r="G296" s="7">
        <v>500</v>
      </c>
      <c r="H296" s="3">
        <v>0</v>
      </c>
      <c r="I296" s="2">
        <f>(salesdata[[#This Row],[Discount]]/100)</f>
        <v>0</v>
      </c>
      <c r="J296" s="8">
        <v>2500</v>
      </c>
      <c r="K296" s="4" t="s">
        <v>37</v>
      </c>
      <c r="L296" s="4" t="s">
        <v>35</v>
      </c>
      <c r="M296" s="4" t="s">
        <v>81</v>
      </c>
      <c r="N296" s="4" t="s">
        <v>31</v>
      </c>
      <c r="O296" s="1" t="str">
        <f>TEXT(salesdata[[#This Row],[Order_Date]],"mmm")</f>
        <v>Dec</v>
      </c>
      <c r="P296" s="1">
        <f>YEAR(salesdata[[#This Row],[Order_Date]])</f>
        <v>2025</v>
      </c>
      <c r="Q296" s="1" t="str">
        <f t="shared" si="4"/>
        <v>Q4</v>
      </c>
    </row>
    <row r="297" spans="1:17" x14ac:dyDescent="0.3">
      <c r="A297" s="1">
        <v>10296</v>
      </c>
      <c r="B297" s="1" t="s">
        <v>38</v>
      </c>
      <c r="C297" s="1" t="s">
        <v>596</v>
      </c>
      <c r="D297" s="1" t="s">
        <v>84</v>
      </c>
      <c r="E297" s="1" t="s">
        <v>28</v>
      </c>
      <c r="F297" s="1">
        <v>1</v>
      </c>
      <c r="G297" s="7">
        <v>15000</v>
      </c>
      <c r="H297" s="3">
        <v>9</v>
      </c>
      <c r="I297" s="2">
        <f>(salesdata[[#This Row],[Discount]]/100)</f>
        <v>0.09</v>
      </c>
      <c r="J297" s="9">
        <v>13650</v>
      </c>
      <c r="K297" s="5" t="s">
        <v>85</v>
      </c>
      <c r="L297" s="5" t="s">
        <v>24</v>
      </c>
      <c r="M297" s="5" t="s">
        <v>160</v>
      </c>
      <c r="N297" s="5" t="s">
        <v>20</v>
      </c>
      <c r="O297" s="1" t="str">
        <f>TEXT(salesdata[[#This Row],[Order_Date]],"mmm")</f>
        <v>Oct</v>
      </c>
      <c r="P297" s="1">
        <f>YEAR(salesdata[[#This Row],[Order_Date]])</f>
        <v>2025</v>
      </c>
      <c r="Q297" s="1" t="str">
        <f t="shared" si="4"/>
        <v>Q4</v>
      </c>
    </row>
    <row r="298" spans="1:17" x14ac:dyDescent="0.3">
      <c r="A298" s="1">
        <v>10297</v>
      </c>
      <c r="B298" s="1" t="s">
        <v>66</v>
      </c>
      <c r="C298" s="1" t="s">
        <v>597</v>
      </c>
      <c r="D298" s="1" t="s">
        <v>22</v>
      </c>
      <c r="E298" s="1" t="s">
        <v>13</v>
      </c>
      <c r="F298" s="1">
        <v>4</v>
      </c>
      <c r="G298" s="7">
        <v>1200</v>
      </c>
      <c r="H298" s="3">
        <v>13</v>
      </c>
      <c r="I298" s="2">
        <f>(salesdata[[#This Row],[Discount]]/100)</f>
        <v>0.13</v>
      </c>
      <c r="J298" s="8">
        <v>4176</v>
      </c>
      <c r="K298" s="4" t="s">
        <v>85</v>
      </c>
      <c r="L298" s="4" t="s">
        <v>24</v>
      </c>
      <c r="M298" s="4" t="s">
        <v>101</v>
      </c>
      <c r="N298" s="4" t="s">
        <v>16</v>
      </c>
      <c r="O298" s="1" t="str">
        <f>TEXT(salesdata[[#This Row],[Order_Date]],"mmm")</f>
        <v>Jun</v>
      </c>
      <c r="P298" s="1">
        <f>YEAR(salesdata[[#This Row],[Order_Date]])</f>
        <v>2025</v>
      </c>
      <c r="Q298" s="1" t="str">
        <f t="shared" si="4"/>
        <v>Q2</v>
      </c>
    </row>
    <row r="299" spans="1:17" x14ac:dyDescent="0.3">
      <c r="A299" s="1">
        <v>10298</v>
      </c>
      <c r="B299" s="1" t="s">
        <v>60</v>
      </c>
      <c r="C299" s="1" t="s">
        <v>598</v>
      </c>
      <c r="D299" s="1" t="s">
        <v>27</v>
      </c>
      <c r="E299" s="1" t="s">
        <v>28</v>
      </c>
      <c r="F299" s="1">
        <v>10</v>
      </c>
      <c r="G299" s="7">
        <v>7000</v>
      </c>
      <c r="H299" s="3">
        <v>13</v>
      </c>
      <c r="I299" s="2">
        <f>(salesdata[[#This Row],[Discount]]/100)</f>
        <v>0.13</v>
      </c>
      <c r="J299" s="9">
        <v>60900</v>
      </c>
      <c r="K299" s="5" t="s">
        <v>23</v>
      </c>
      <c r="L299" s="5" t="s">
        <v>15</v>
      </c>
      <c r="M299" s="5" t="s">
        <v>101</v>
      </c>
      <c r="N299" s="5" t="s">
        <v>31</v>
      </c>
      <c r="O299" s="1" t="str">
        <f>TEXT(salesdata[[#This Row],[Order_Date]],"mmm")</f>
        <v>Sep</v>
      </c>
      <c r="P299" s="1">
        <f>YEAR(salesdata[[#This Row],[Order_Date]])</f>
        <v>2025</v>
      </c>
      <c r="Q299" s="1" t="str">
        <f t="shared" si="4"/>
        <v>Q3</v>
      </c>
    </row>
    <row r="300" spans="1:17" x14ac:dyDescent="0.3">
      <c r="A300" s="1">
        <v>10299</v>
      </c>
      <c r="B300" s="1" t="s">
        <v>599</v>
      </c>
      <c r="C300" s="1" t="s">
        <v>600</v>
      </c>
      <c r="D300" s="1" t="s">
        <v>17</v>
      </c>
      <c r="E300" s="1" t="s">
        <v>13</v>
      </c>
      <c r="F300" s="1">
        <v>6</v>
      </c>
      <c r="G300" s="7">
        <v>2000</v>
      </c>
      <c r="H300" s="3">
        <v>6</v>
      </c>
      <c r="I300" s="2">
        <f>(salesdata[[#This Row],[Discount]]/100)</f>
        <v>0.06</v>
      </c>
      <c r="J300" s="8">
        <v>11280</v>
      </c>
      <c r="K300" s="4" t="s">
        <v>18</v>
      </c>
      <c r="L300" s="4" t="s">
        <v>98</v>
      </c>
      <c r="M300" s="4" t="s">
        <v>101</v>
      </c>
      <c r="N300" s="4" t="s">
        <v>34</v>
      </c>
      <c r="O300" s="1" t="str">
        <f>TEXT(salesdata[[#This Row],[Order_Date]],"mmm")</f>
        <v>Aug</v>
      </c>
      <c r="P300" s="1">
        <f>YEAR(salesdata[[#This Row],[Order_Date]])</f>
        <v>2025</v>
      </c>
      <c r="Q300" s="1" t="str">
        <f t="shared" si="4"/>
        <v>Q3</v>
      </c>
    </row>
    <row r="301" spans="1:17" x14ac:dyDescent="0.3">
      <c r="A301" s="1">
        <v>10300</v>
      </c>
      <c r="B301" s="1" t="s">
        <v>601</v>
      </c>
      <c r="C301" s="1" t="s">
        <v>602</v>
      </c>
      <c r="D301" s="1" t="s">
        <v>36</v>
      </c>
      <c r="E301" s="1" t="s">
        <v>13</v>
      </c>
      <c r="F301" s="1">
        <v>6</v>
      </c>
      <c r="G301" s="7">
        <v>8000</v>
      </c>
      <c r="H301" s="3">
        <v>19</v>
      </c>
      <c r="I301" s="2">
        <f>(salesdata[[#This Row],[Discount]]/100)</f>
        <v>0.19</v>
      </c>
      <c r="J301" s="9">
        <v>38880</v>
      </c>
      <c r="K301" s="5" t="s">
        <v>39</v>
      </c>
      <c r="L301" s="5" t="s">
        <v>15</v>
      </c>
      <c r="M301" s="5" t="s">
        <v>25</v>
      </c>
      <c r="N301" s="5" t="s">
        <v>34</v>
      </c>
      <c r="O301" s="1" t="str">
        <f>TEXT(salesdata[[#This Row],[Order_Date]],"mmm")</f>
        <v>Nov</v>
      </c>
      <c r="P301" s="1">
        <f>YEAR(salesdata[[#This Row],[Order_Date]])</f>
        <v>2025</v>
      </c>
      <c r="Q301" s="1" t="str">
        <f t="shared" si="4"/>
        <v>Q4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7765B-7245-4DDA-B791-C8E9E48CA799}">
  <sheetPr codeName="Sheet2"/>
  <dimension ref="A3:H50"/>
  <sheetViews>
    <sheetView topLeftCell="A17" zoomScale="103" workbookViewId="0">
      <selection activeCell="T22" sqref="T22"/>
    </sheetView>
  </sheetViews>
  <sheetFormatPr defaultRowHeight="14.4" x14ac:dyDescent="0.3"/>
  <cols>
    <col min="1" max="1" width="12.77734375" bestFit="1" customWidth="1"/>
    <col min="2" max="2" width="13.5546875" bestFit="1" customWidth="1"/>
    <col min="3" max="3" width="15.21875" bestFit="1" customWidth="1"/>
    <col min="4" max="4" width="13.77734375" bestFit="1" customWidth="1"/>
    <col min="5" max="5" width="13.5546875" bestFit="1" customWidth="1"/>
    <col min="6" max="6" width="5.77734375" customWidth="1"/>
    <col min="7" max="7" width="12.77734375" bestFit="1" customWidth="1"/>
    <col min="8" max="8" width="13.5546875" bestFit="1" customWidth="1"/>
    <col min="9" max="9" width="5.5546875" customWidth="1"/>
    <col min="10" max="10" width="13.44140625" bestFit="1" customWidth="1"/>
    <col min="11" max="11" width="13.109375" bestFit="1" customWidth="1"/>
    <col min="12" max="12" width="6.21875" customWidth="1"/>
    <col min="13" max="13" width="12.5546875" bestFit="1" customWidth="1"/>
    <col min="14" max="14" width="13.109375" bestFit="1" customWidth="1"/>
  </cols>
  <sheetData>
    <row r="3" spans="1:8" ht="15.6" x14ac:dyDescent="0.3">
      <c r="A3" s="11" t="s">
        <v>605</v>
      </c>
      <c r="B3" s="11" t="s">
        <v>606</v>
      </c>
      <c r="C3" s="11" t="s">
        <v>607</v>
      </c>
      <c r="D3" s="11" t="s">
        <v>608</v>
      </c>
    </row>
    <row r="4" spans="1:8" x14ac:dyDescent="0.3">
      <c r="A4" s="12">
        <f>SUM(salesdata[Sales])</f>
        <v>18167774</v>
      </c>
      <c r="B4" s="13">
        <f>COUNTA(salesdata[Order_ID])</f>
        <v>300</v>
      </c>
      <c r="C4" s="13">
        <f>SUM(salesdata[Quantity])</f>
        <v>1595</v>
      </c>
      <c r="D4" s="12">
        <f>A4/B4</f>
        <v>60559.246666666666</v>
      </c>
    </row>
    <row r="8" spans="1:8" ht="18" x14ac:dyDescent="0.35">
      <c r="A8" s="17" t="s">
        <v>624</v>
      </c>
      <c r="D8" s="17" t="s">
        <v>625</v>
      </c>
      <c r="G8" s="17" t="s">
        <v>628</v>
      </c>
    </row>
    <row r="9" spans="1:8" x14ac:dyDescent="0.3">
      <c r="G9" s="14" t="s">
        <v>609</v>
      </c>
      <c r="H9" t="s">
        <v>623</v>
      </c>
    </row>
    <row r="10" spans="1:8" x14ac:dyDescent="0.3">
      <c r="A10" s="14" t="s">
        <v>609</v>
      </c>
      <c r="B10" t="s">
        <v>623</v>
      </c>
      <c r="D10" s="14" t="s">
        <v>609</v>
      </c>
      <c r="E10" t="s">
        <v>623</v>
      </c>
      <c r="G10" s="15" t="s">
        <v>20</v>
      </c>
      <c r="H10" s="10">
        <v>6025189</v>
      </c>
    </row>
    <row r="11" spans="1:8" x14ac:dyDescent="0.3">
      <c r="A11" s="15">
        <v>2023</v>
      </c>
      <c r="B11" s="10">
        <v>7629057</v>
      </c>
      <c r="D11" s="15" t="s">
        <v>12</v>
      </c>
      <c r="E11" s="10">
        <v>7838000</v>
      </c>
      <c r="G11" s="15" t="s">
        <v>31</v>
      </c>
      <c r="H11" s="10">
        <v>4478721</v>
      </c>
    </row>
    <row r="12" spans="1:8" x14ac:dyDescent="0.3">
      <c r="A12" s="16" t="s">
        <v>610</v>
      </c>
      <c r="B12" s="10">
        <v>276515</v>
      </c>
      <c r="D12" s="15" t="s">
        <v>42</v>
      </c>
      <c r="E12" s="10">
        <v>4367000</v>
      </c>
      <c r="G12" s="15" t="s">
        <v>34</v>
      </c>
      <c r="H12" s="10">
        <v>4271363</v>
      </c>
    </row>
    <row r="13" spans="1:8" x14ac:dyDescent="0.3">
      <c r="A13" s="16" t="s">
        <v>611</v>
      </c>
      <c r="B13" s="10">
        <v>473810</v>
      </c>
      <c r="D13" s="15" t="s">
        <v>84</v>
      </c>
      <c r="E13" s="10">
        <v>1982850</v>
      </c>
      <c r="G13" s="15" t="s">
        <v>16</v>
      </c>
      <c r="H13" s="10">
        <v>3392501</v>
      </c>
    </row>
    <row r="14" spans="1:8" x14ac:dyDescent="0.3">
      <c r="A14" s="16" t="s">
        <v>612</v>
      </c>
      <c r="B14" s="10">
        <v>279430</v>
      </c>
      <c r="D14" s="15" t="s">
        <v>36</v>
      </c>
      <c r="E14" s="10">
        <v>1674160</v>
      </c>
      <c r="G14" s="15" t="s">
        <v>622</v>
      </c>
      <c r="H14" s="10">
        <v>18167774</v>
      </c>
    </row>
    <row r="15" spans="1:8" x14ac:dyDescent="0.3">
      <c r="A15" s="16" t="s">
        <v>613</v>
      </c>
      <c r="B15" s="10">
        <v>120025</v>
      </c>
      <c r="D15" s="15" t="s">
        <v>27</v>
      </c>
      <c r="E15" s="10">
        <v>836640</v>
      </c>
    </row>
    <row r="16" spans="1:8" x14ac:dyDescent="0.3">
      <c r="A16" s="16" t="s">
        <v>614</v>
      </c>
      <c r="B16" s="10">
        <v>313044</v>
      </c>
      <c r="D16" s="15" t="s">
        <v>119</v>
      </c>
      <c r="E16" s="10">
        <v>618650</v>
      </c>
    </row>
    <row r="17" spans="1:8" x14ac:dyDescent="0.3">
      <c r="A17" s="16" t="s">
        <v>615</v>
      </c>
      <c r="B17" s="10">
        <v>1125325</v>
      </c>
      <c r="D17" s="15" t="s">
        <v>17</v>
      </c>
      <c r="E17" s="10">
        <v>362940</v>
      </c>
    </row>
    <row r="18" spans="1:8" x14ac:dyDescent="0.3">
      <c r="A18" s="16" t="s">
        <v>616</v>
      </c>
      <c r="B18" s="10">
        <v>1167382</v>
      </c>
      <c r="D18" s="15" t="s">
        <v>32</v>
      </c>
      <c r="E18" s="10">
        <v>264840</v>
      </c>
    </row>
    <row r="19" spans="1:8" x14ac:dyDescent="0.3">
      <c r="A19" s="16" t="s">
        <v>617</v>
      </c>
      <c r="B19" s="10">
        <v>875418</v>
      </c>
      <c r="D19" s="15" t="s">
        <v>22</v>
      </c>
      <c r="E19" s="10">
        <v>169644</v>
      </c>
    </row>
    <row r="20" spans="1:8" x14ac:dyDescent="0.3">
      <c r="A20" s="16" t="s">
        <v>618</v>
      </c>
      <c r="B20" s="10">
        <v>591360</v>
      </c>
      <c r="D20" s="15" t="s">
        <v>29</v>
      </c>
      <c r="E20" s="10">
        <v>53050</v>
      </c>
    </row>
    <row r="21" spans="1:8" x14ac:dyDescent="0.3">
      <c r="A21" s="16" t="s">
        <v>619</v>
      </c>
      <c r="B21" s="10">
        <v>1272570</v>
      </c>
      <c r="D21" s="15" t="s">
        <v>622</v>
      </c>
      <c r="E21" s="10">
        <v>18167774</v>
      </c>
    </row>
    <row r="22" spans="1:8" x14ac:dyDescent="0.3">
      <c r="A22" s="16" t="s">
        <v>620</v>
      </c>
      <c r="B22" s="10">
        <v>326028</v>
      </c>
    </row>
    <row r="23" spans="1:8" x14ac:dyDescent="0.3">
      <c r="A23" s="16" t="s">
        <v>621</v>
      </c>
      <c r="B23" s="10">
        <v>808150</v>
      </c>
    </row>
    <row r="24" spans="1:8" ht="18" x14ac:dyDescent="0.35">
      <c r="A24" s="15">
        <v>2024</v>
      </c>
      <c r="B24" s="10">
        <v>4425335</v>
      </c>
      <c r="D24" s="17" t="s">
        <v>626</v>
      </c>
      <c r="G24" s="17" t="s">
        <v>629</v>
      </c>
    </row>
    <row r="25" spans="1:8" x14ac:dyDescent="0.3">
      <c r="A25" s="16" t="s">
        <v>610</v>
      </c>
      <c r="B25" s="10">
        <v>701470</v>
      </c>
      <c r="G25" s="14" t="s">
        <v>609</v>
      </c>
      <c r="H25" t="s">
        <v>631</v>
      </c>
    </row>
    <row r="26" spans="1:8" x14ac:dyDescent="0.3">
      <c r="A26" s="16" t="s">
        <v>611</v>
      </c>
      <c r="B26" s="10">
        <v>286472</v>
      </c>
      <c r="D26" s="14" t="s">
        <v>609</v>
      </c>
      <c r="E26" t="s">
        <v>623</v>
      </c>
      <c r="G26" s="15" t="s">
        <v>24</v>
      </c>
      <c r="H26" s="21">
        <v>57</v>
      </c>
    </row>
    <row r="27" spans="1:8" x14ac:dyDescent="0.3">
      <c r="A27" s="16" t="s">
        <v>612</v>
      </c>
      <c r="B27" s="10">
        <v>233950</v>
      </c>
      <c r="D27" s="15" t="s">
        <v>13</v>
      </c>
      <c r="E27" s="10">
        <v>15083444</v>
      </c>
      <c r="G27" s="15" t="s">
        <v>98</v>
      </c>
      <c r="H27" s="21">
        <v>76</v>
      </c>
    </row>
    <row r="28" spans="1:8" x14ac:dyDescent="0.3">
      <c r="A28" s="16" t="s">
        <v>613</v>
      </c>
      <c r="B28" s="10">
        <v>539390</v>
      </c>
      <c r="D28" s="15" t="s">
        <v>28</v>
      </c>
      <c r="E28" s="10">
        <v>3084330</v>
      </c>
      <c r="G28" s="15" t="s">
        <v>91</v>
      </c>
      <c r="H28" s="21">
        <v>49</v>
      </c>
    </row>
    <row r="29" spans="1:8" x14ac:dyDescent="0.3">
      <c r="A29" s="16" t="s">
        <v>614</v>
      </c>
      <c r="B29" s="10">
        <v>85120</v>
      </c>
      <c r="D29" s="15" t="s">
        <v>622</v>
      </c>
      <c r="E29" s="10">
        <v>18167774</v>
      </c>
      <c r="G29" s="15" t="s">
        <v>35</v>
      </c>
      <c r="H29" s="21">
        <v>55</v>
      </c>
    </row>
    <row r="30" spans="1:8" x14ac:dyDescent="0.3">
      <c r="A30" s="16" t="s">
        <v>615</v>
      </c>
      <c r="B30" s="10">
        <v>127208</v>
      </c>
      <c r="G30" s="15" t="s">
        <v>15</v>
      </c>
      <c r="H30" s="21">
        <v>63</v>
      </c>
    </row>
    <row r="31" spans="1:8" x14ac:dyDescent="0.3">
      <c r="A31" s="16" t="s">
        <v>616</v>
      </c>
      <c r="B31" s="10">
        <v>351220</v>
      </c>
      <c r="G31" s="15" t="s">
        <v>622</v>
      </c>
      <c r="H31" s="21">
        <v>300</v>
      </c>
    </row>
    <row r="32" spans="1:8" x14ac:dyDescent="0.3">
      <c r="A32" s="16" t="s">
        <v>617</v>
      </c>
      <c r="B32" s="10">
        <v>650587</v>
      </c>
    </row>
    <row r="33" spans="1:8" ht="18" x14ac:dyDescent="0.35">
      <c r="A33" s="16" t="s">
        <v>618</v>
      </c>
      <c r="B33" s="10">
        <v>406196</v>
      </c>
      <c r="D33" s="17" t="s">
        <v>627</v>
      </c>
      <c r="G33" s="17" t="s">
        <v>630</v>
      </c>
    </row>
    <row r="34" spans="1:8" x14ac:dyDescent="0.3">
      <c r="A34" s="16" t="s">
        <v>619</v>
      </c>
      <c r="B34" s="10">
        <v>304470</v>
      </c>
      <c r="G34" s="14" t="s">
        <v>609</v>
      </c>
      <c r="H34" t="s">
        <v>623</v>
      </c>
    </row>
    <row r="35" spans="1:8" x14ac:dyDescent="0.3">
      <c r="A35" s="16" t="s">
        <v>620</v>
      </c>
      <c r="B35" s="10">
        <v>306530</v>
      </c>
      <c r="D35" s="14" t="s">
        <v>609</v>
      </c>
      <c r="E35" t="s">
        <v>623</v>
      </c>
      <c r="G35" s="15" t="s">
        <v>81</v>
      </c>
      <c r="H35" s="10">
        <v>2438120</v>
      </c>
    </row>
    <row r="36" spans="1:8" x14ac:dyDescent="0.3">
      <c r="A36" s="16" t="s">
        <v>621</v>
      </c>
      <c r="B36" s="10">
        <v>432722</v>
      </c>
      <c r="D36" s="15" t="s">
        <v>85</v>
      </c>
      <c r="E36" s="10">
        <v>2066848</v>
      </c>
      <c r="G36" s="15" t="s">
        <v>19</v>
      </c>
      <c r="H36" s="10">
        <v>1415798</v>
      </c>
    </row>
    <row r="37" spans="1:8" x14ac:dyDescent="0.3">
      <c r="A37" s="15">
        <v>2025</v>
      </c>
      <c r="B37" s="10">
        <v>6113382</v>
      </c>
      <c r="D37" s="15" t="s">
        <v>39</v>
      </c>
      <c r="E37" s="10">
        <v>2115970</v>
      </c>
      <c r="G37" s="15" t="s">
        <v>160</v>
      </c>
      <c r="H37" s="10">
        <v>2259690</v>
      </c>
    </row>
    <row r="38" spans="1:8" x14ac:dyDescent="0.3">
      <c r="A38" s="16" t="s">
        <v>610</v>
      </c>
      <c r="B38" s="10">
        <v>146750</v>
      </c>
      <c r="D38" s="15" t="s">
        <v>23</v>
      </c>
      <c r="E38" s="10">
        <v>1860475</v>
      </c>
      <c r="G38" s="15" t="s">
        <v>25</v>
      </c>
      <c r="H38" s="10">
        <v>2959572</v>
      </c>
    </row>
    <row r="39" spans="1:8" x14ac:dyDescent="0.3">
      <c r="A39" s="16" t="s">
        <v>611</v>
      </c>
      <c r="B39" s="10">
        <v>519110</v>
      </c>
      <c r="D39" s="15" t="s">
        <v>88</v>
      </c>
      <c r="E39" s="10">
        <v>3498520</v>
      </c>
      <c r="G39" s="15" t="s">
        <v>40</v>
      </c>
      <c r="H39" s="10">
        <v>3187445</v>
      </c>
    </row>
    <row r="40" spans="1:8" x14ac:dyDescent="0.3">
      <c r="A40" s="16" t="s">
        <v>612</v>
      </c>
      <c r="B40" s="10">
        <v>183020</v>
      </c>
      <c r="D40" s="15" t="s">
        <v>37</v>
      </c>
      <c r="E40" s="10">
        <v>1843754</v>
      </c>
      <c r="G40" s="15" t="s">
        <v>44</v>
      </c>
      <c r="H40" s="10">
        <v>2086044</v>
      </c>
    </row>
    <row r="41" spans="1:8" x14ac:dyDescent="0.3">
      <c r="A41" s="16" t="s">
        <v>613</v>
      </c>
      <c r="B41" s="10">
        <v>516960</v>
      </c>
      <c r="D41" s="15" t="s">
        <v>30</v>
      </c>
      <c r="E41" s="10">
        <v>2571200</v>
      </c>
      <c r="G41" s="15" t="s">
        <v>101</v>
      </c>
      <c r="H41" s="10">
        <v>2478420</v>
      </c>
    </row>
    <row r="42" spans="1:8" x14ac:dyDescent="0.3">
      <c r="A42" s="16" t="s">
        <v>614</v>
      </c>
      <c r="B42" s="10">
        <v>447466</v>
      </c>
      <c r="D42" s="15" t="s">
        <v>14</v>
      </c>
      <c r="E42" s="10">
        <v>1491090</v>
      </c>
      <c r="G42" s="15" t="s">
        <v>33</v>
      </c>
      <c r="H42" s="10">
        <v>1342685</v>
      </c>
    </row>
    <row r="43" spans="1:8" x14ac:dyDescent="0.3">
      <c r="A43" s="16" t="s">
        <v>615</v>
      </c>
      <c r="B43" s="10">
        <v>123576</v>
      </c>
      <c r="D43" s="15" t="s">
        <v>18</v>
      </c>
      <c r="E43" s="10">
        <v>2719917</v>
      </c>
      <c r="G43" s="15" t="s">
        <v>622</v>
      </c>
      <c r="H43" s="10">
        <v>18167774</v>
      </c>
    </row>
    <row r="44" spans="1:8" x14ac:dyDescent="0.3">
      <c r="A44" s="16" t="s">
        <v>616</v>
      </c>
      <c r="B44" s="10">
        <v>792000</v>
      </c>
      <c r="D44" s="15" t="s">
        <v>622</v>
      </c>
      <c r="E44" s="10">
        <v>18167774</v>
      </c>
    </row>
    <row r="45" spans="1:8" x14ac:dyDescent="0.3">
      <c r="A45" s="16" t="s">
        <v>617</v>
      </c>
      <c r="B45" s="10">
        <v>619822</v>
      </c>
    </row>
    <row r="46" spans="1:8" x14ac:dyDescent="0.3">
      <c r="A46" s="16" t="s">
        <v>618</v>
      </c>
      <c r="B46" s="10">
        <v>731004</v>
      </c>
    </row>
    <row r="47" spans="1:8" x14ac:dyDescent="0.3">
      <c r="A47" s="16" t="s">
        <v>619</v>
      </c>
      <c r="B47" s="10">
        <v>1054340</v>
      </c>
    </row>
    <row r="48" spans="1:8" x14ac:dyDescent="0.3">
      <c r="A48" s="16" t="s">
        <v>620</v>
      </c>
      <c r="B48" s="10">
        <v>512156</v>
      </c>
    </row>
    <row r="49" spans="1:2" x14ac:dyDescent="0.3">
      <c r="A49" s="16" t="s">
        <v>621</v>
      </c>
      <c r="B49" s="10">
        <v>467178</v>
      </c>
    </row>
    <row r="50" spans="1:2" x14ac:dyDescent="0.3">
      <c r="A50" s="15" t="s">
        <v>622</v>
      </c>
      <c r="B50" s="10">
        <v>18167774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690C4-8316-45AE-B86D-34656A76BABC}">
  <sheetPr codeName="Sheet3"/>
  <dimension ref="R5:X13"/>
  <sheetViews>
    <sheetView showGridLines="0" tabSelected="1" zoomScale="40" zoomScaleNormal="40" workbookViewId="0">
      <selection activeCell="O72" sqref="O72"/>
    </sheetView>
  </sheetViews>
  <sheetFormatPr defaultRowHeight="14.4" x14ac:dyDescent="0.3"/>
  <cols>
    <col min="1" max="1" width="17" customWidth="1"/>
    <col min="2" max="2" width="14.77734375" customWidth="1"/>
    <col min="3" max="3" width="14.33203125" customWidth="1"/>
    <col min="4" max="4" width="11.6640625" customWidth="1"/>
    <col min="14" max="14" width="14.44140625" customWidth="1"/>
    <col min="15" max="15" width="21.44140625" bestFit="1" customWidth="1"/>
    <col min="16" max="16" width="21.21875" bestFit="1" customWidth="1"/>
    <col min="17" max="17" width="19.88671875" bestFit="1" customWidth="1"/>
    <col min="18" max="18" width="22.109375" bestFit="1" customWidth="1"/>
    <col min="19" max="19" width="16.109375" bestFit="1" customWidth="1"/>
    <col min="20" max="20" width="18.5546875" customWidth="1"/>
    <col min="21" max="21" width="22.5546875" bestFit="1" customWidth="1"/>
    <col min="22" max="22" width="25.5546875" bestFit="1" customWidth="1"/>
    <col min="23" max="23" width="28.33203125" bestFit="1" customWidth="1"/>
    <col min="24" max="24" width="21.33203125" bestFit="1" customWidth="1"/>
    <col min="25" max="25" width="15.5546875" bestFit="1" customWidth="1"/>
    <col min="26" max="26" width="22" bestFit="1" customWidth="1"/>
    <col min="27" max="27" width="15.77734375" bestFit="1" customWidth="1"/>
    <col min="30" max="30" width="21.21875" bestFit="1" customWidth="1"/>
    <col min="31" max="31" width="25.44140625" bestFit="1" customWidth="1"/>
    <col min="32" max="32" width="28.21875" bestFit="1" customWidth="1"/>
    <col min="33" max="33" width="21.21875" bestFit="1" customWidth="1"/>
    <col min="37" max="37" width="12.88671875" customWidth="1"/>
    <col min="38" max="38" width="11.5546875" customWidth="1"/>
    <col min="39" max="39" width="9.88671875" customWidth="1"/>
    <col min="40" max="40" width="10.88671875" customWidth="1"/>
  </cols>
  <sheetData>
    <row r="5" spans="18:24" ht="34.200000000000003" customHeight="1" x14ac:dyDescent="0.3"/>
    <row r="6" spans="18:24" ht="36.6" customHeight="1" x14ac:dyDescent="0.3">
      <c r="U6" s="18" t="s">
        <v>605</v>
      </c>
      <c r="V6" s="19" t="s">
        <v>606</v>
      </c>
      <c r="W6" s="19" t="s">
        <v>607</v>
      </c>
      <c r="X6" s="19" t="s">
        <v>608</v>
      </c>
    </row>
    <row r="7" spans="18:24" ht="30.6" customHeight="1" x14ac:dyDescent="0.3">
      <c r="U7" s="22">
        <f>SUM(salesdata[Sales])</f>
        <v>18167774</v>
      </c>
      <c r="V7" s="23">
        <f>COUNTA(salesdata[Order_ID])</f>
        <v>300</v>
      </c>
      <c r="W7" s="23">
        <f>SUM(salesdata[Quantity])</f>
        <v>1595</v>
      </c>
      <c r="X7" s="22">
        <f>U7/V7</f>
        <v>60559.246666666666</v>
      </c>
    </row>
    <row r="8" spans="18:24" ht="2.4" customHeight="1" x14ac:dyDescent="0.3"/>
    <row r="9" spans="18:24" ht="13.8" hidden="1" customHeight="1" x14ac:dyDescent="0.3"/>
    <row r="10" spans="18:24" ht="21" customHeight="1" x14ac:dyDescent="0.3"/>
    <row r="11" spans="18:24" ht="6" customHeight="1" x14ac:dyDescent="0.3"/>
    <row r="12" spans="18:24" ht="30.6" customHeight="1" x14ac:dyDescent="0.3"/>
    <row r="13" spans="18:24" ht="28.2" customHeight="1" x14ac:dyDescent="0.3">
      <c r="R13"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Sales_Report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Dp</dc:creator>
  <cp:lastModifiedBy>The Dp</cp:lastModifiedBy>
  <dcterms:created xsi:type="dcterms:W3CDTF">2026-06-23T06:18:57Z</dcterms:created>
  <dcterms:modified xsi:type="dcterms:W3CDTF">2026-06-23T13:32:56Z</dcterms:modified>
</cp:coreProperties>
</file>